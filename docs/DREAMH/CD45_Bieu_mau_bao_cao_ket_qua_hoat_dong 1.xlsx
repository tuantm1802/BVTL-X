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rojects\BVTL-X\docs\DREAMH\"/>
    </mc:Choice>
  </mc:AlternateContent>
  <xr:revisionPtr revIDLastSave="0" documentId="8_{C9EE1B9C-754E-42A1-9B1F-0ED48BE972EB}" xr6:coauthVersionLast="47" xr6:coauthVersionMax="47" xr10:uidLastSave="{00000000-0000-0000-0000-000000000000}"/>
  <bookViews>
    <workbookView xWindow="-120" yWindow="-120" windowWidth="29040" windowHeight="15720" tabRatio="500" firstSheet="3" activeTab="3" xr2:uid="{00000000-000D-0000-FFFF-FFFF00000000}"/>
  </bookViews>
  <sheets>
    <sheet name="Các loại báo cáo" sheetId="1" r:id="rId1"/>
    <sheet name="Về nhà" sheetId="2" r:id="rId2"/>
    <sheet name="Its T time" sheetId="3" r:id="rId3"/>
    <sheet name="Liên minh hạnh phúc" sheetId="4" r:id="rId4"/>
    <sheet name="DREAMH" sheetId="5" r:id="rId5"/>
  </sheets>
  <definedNames>
    <definedName name="_xlnm._FilterDatabase" localSheetId="2" hidden="1">'Its T time'!$B$4:$O$53</definedName>
    <definedName name="_xlnm._FilterDatabase" localSheetId="3" hidden="1">'Liên minh hạnh phúc'!$B$4:$O$53</definedName>
    <definedName name="_xlnm._FilterDatabase" localSheetId="1" hidden="1">'Về nhà'!$B$4:$O$53</definedName>
    <definedName name="ExternalData_1" localSheetId="4" hidden="1">DREAMH!$A$1:$JB$766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40" i="4" l="1" a="1"/>
  <c r="J39" i="4" a="1"/>
  <c r="J38" i="4" a="1"/>
  <c r="J37" i="4" a="1"/>
  <c r="J36" i="4" a="1"/>
  <c r="J35" i="4" a="1"/>
  <c r="J34" i="4" a="1"/>
  <c r="J33" i="4" a="1"/>
  <c r="J32" i="4" a="1"/>
  <c r="J30" i="4" a="1"/>
  <c r="J29" i="4" a="1"/>
  <c r="J28" i="4" a="1"/>
  <c r="J27" i="4" a="1"/>
  <c r="J26" i="4" a="1"/>
  <c r="J25" i="4" a="1"/>
  <c r="J24" i="4" a="1"/>
  <c r="J23" i="4" a="1"/>
  <c r="J22" i="4" a="1"/>
  <c r="J21" i="4" a="1"/>
  <c r="J20" i="4" a="1"/>
  <c r="J19" i="4" a="1"/>
  <c r="J18" i="4" a="1"/>
  <c r="J17" i="4" a="1"/>
  <c r="J16" i="4" a="1"/>
  <c r="J15" i="4" a="1"/>
  <c r="J14" i="4" a="1"/>
  <c r="J12" i="4" a="1"/>
  <c r="J11" i="4" a="1"/>
  <c r="J10" i="4" a="1"/>
  <c r="J8" i="4" a="1"/>
  <c r="J7" i="4" a="1"/>
  <c r="J6" i="4" a="1"/>
  <c r="I40" i="4" a="1"/>
  <c r="I39" i="4" a="1"/>
  <c r="I38" i="4" a="1"/>
  <c r="I37" i="4" a="1"/>
  <c r="I36" i="4" a="1"/>
  <c r="I35" i="4" a="1"/>
  <c r="I34" i="4" a="1"/>
  <c r="I33" i="4" a="1"/>
  <c r="I32" i="4" a="1"/>
  <c r="I30" i="4" a="1"/>
  <c r="I29" i="4" a="1"/>
  <c r="I28" i="4" a="1"/>
  <c r="I27" i="4" a="1"/>
  <c r="I26" i="4" a="1"/>
  <c r="I25" i="4" a="1"/>
  <c r="I24" i="4" a="1"/>
  <c r="I23" i="4" a="1"/>
  <c r="I22" i="4" a="1"/>
  <c r="I21" i="4" a="1"/>
  <c r="I20" i="4" a="1"/>
  <c r="I19" i="4" a="1"/>
  <c r="I18" i="4" a="1"/>
  <c r="I17" i="4" a="1"/>
  <c r="I16" i="4" a="1"/>
  <c r="I15" i="4" a="1"/>
  <c r="I14" i="4" a="1"/>
  <c r="I12" i="4" a="1"/>
  <c r="I11" i="4" a="1"/>
  <c r="I10" i="4" a="1"/>
  <c r="I8" i="4" a="1"/>
  <c r="I7" i="4" a="1"/>
  <c r="I6" i="4" a="1"/>
  <c r="H40" i="4" a="1"/>
  <c r="H39" i="4" a="1"/>
  <c r="H38" i="4" a="1"/>
  <c r="H37" i="4" a="1"/>
  <c r="H36" i="4" a="1"/>
  <c r="H35" i="4" a="1"/>
  <c r="H34" i="4" a="1"/>
  <c r="H33" i="4" a="1"/>
  <c r="H32" i="4" a="1"/>
  <c r="H30" i="4" a="1"/>
  <c r="H29" i="4" a="1"/>
  <c r="H28" i="4" a="1"/>
  <c r="H27" i="4" a="1"/>
  <c r="H26" i="4" a="1"/>
  <c r="H25" i="4" a="1"/>
  <c r="H24" i="4" a="1"/>
  <c r="H23" i="4" a="1"/>
  <c r="H22" i="4" a="1"/>
  <c r="H21" i="4" a="1"/>
  <c r="H20" i="4" a="1"/>
  <c r="H19" i="4" a="1"/>
  <c r="H18" i="4" a="1"/>
  <c r="H17" i="4" a="1"/>
  <c r="H16" i="4" a="1"/>
  <c r="H15" i="4" a="1"/>
  <c r="H14" i="4" a="1"/>
  <c r="H12" i="4" a="1"/>
  <c r="H11" i="4" a="1"/>
  <c r="H10" i="4" a="1"/>
  <c r="H8" i="4" a="1"/>
  <c r="H7" i="4" a="1"/>
  <c r="H6" i="4" a="1"/>
  <c r="G40" i="4" a="1"/>
  <c r="G39" i="4" a="1"/>
  <c r="G38" i="4" a="1"/>
  <c r="G37" i="4" a="1"/>
  <c r="G36" i="4" a="1"/>
  <c r="G35" i="4" a="1"/>
  <c r="G34" i="4" a="1"/>
  <c r="G33" i="4" a="1"/>
  <c r="G32" i="4" a="1"/>
  <c r="G30" i="4" a="1"/>
  <c r="G29" i="4" a="1"/>
  <c r="G28" i="4" a="1"/>
  <c r="G27" i="4" a="1"/>
  <c r="G26" i="4" a="1"/>
  <c r="G25" i="4" a="1"/>
  <c r="G24" i="4" a="1"/>
  <c r="G23" i="4" a="1"/>
  <c r="G22" i="4" a="1"/>
  <c r="G21" i="4" a="1"/>
  <c r="G20" i="4" a="1"/>
  <c r="G19" i="4" a="1"/>
  <c r="G18" i="4" a="1"/>
  <c r="G17" i="4" a="1"/>
  <c r="G16" i="4" a="1"/>
  <c r="G15" i="4" a="1"/>
  <c r="G14" i="4" a="1"/>
  <c r="G12" i="4" a="1"/>
  <c r="G11" i="4" a="1"/>
  <c r="G10" i="4" a="1"/>
  <c r="G8" i="4" a="1"/>
  <c r="G7" i="4" a="1"/>
  <c r="G6" i="4" a="1"/>
  <c r="F40" i="4" a="1"/>
  <c r="F39" i="4" a="1"/>
  <c r="F38" i="4" a="1"/>
  <c r="F37" i="4" a="1"/>
  <c r="F36" i="4" a="1"/>
  <c r="F35" i="4" a="1"/>
  <c r="F34" i="4" a="1"/>
  <c r="F33" i="4" a="1"/>
  <c r="F32" i="4" a="1"/>
  <c r="F30" i="4" a="1"/>
  <c r="F29" i="4" a="1"/>
  <c r="F28" i="4" a="1"/>
  <c r="F27" i="4" a="1"/>
  <c r="F26" i="4" a="1"/>
  <c r="F25" i="4" a="1"/>
  <c r="F24" i="4" a="1"/>
  <c r="F23" i="4" a="1"/>
  <c r="F22" i="4" a="1"/>
  <c r="F21" i="4" a="1"/>
  <c r="F20" i="4" a="1"/>
  <c r="F19" i="4" a="1"/>
  <c r="F18" i="4" a="1"/>
  <c r="F17" i="4" a="1"/>
  <c r="F16" i="4" a="1"/>
  <c r="F15" i="4" a="1"/>
  <c r="F14" i="4" a="1"/>
  <c r="F12" i="4" a="1"/>
  <c r="F11" i="4" a="1"/>
  <c r="F10" i="4" a="1"/>
  <c r="F8" i="4" a="1"/>
  <c r="F7" i="4" a="1"/>
  <c r="F6" i="4" a="1"/>
  <c r="E40" i="4" a="1"/>
  <c r="E39" i="4" a="1"/>
  <c r="E38" i="4" a="1"/>
  <c r="E37" i="4" a="1"/>
  <c r="E36" i="4" a="1"/>
  <c r="E35" i="4" a="1"/>
  <c r="E34" i="4" a="1"/>
  <c r="E33" i="4" a="1"/>
  <c r="E32" i="4" a="1"/>
  <c r="E30" i="4" a="1"/>
  <c r="E29" i="4" a="1"/>
  <c r="E28" i="4" a="1"/>
  <c r="E27" i="4" a="1"/>
  <c r="E26" i="4" a="1"/>
  <c r="E25" i="4" a="1"/>
  <c r="E24" i="4" a="1"/>
  <c r="E23" i="4" a="1"/>
  <c r="E22" i="4" a="1"/>
  <c r="E21" i="4" a="1"/>
  <c r="E20" i="4" a="1"/>
  <c r="E19" i="4" a="1"/>
  <c r="E18" i="4" a="1"/>
  <c r="E17" i="4" a="1"/>
  <c r="E16" i="4" a="1"/>
  <c r="E15" i="4" a="1"/>
  <c r="E14" i="4" a="1"/>
  <c r="E12" i="4" a="1"/>
  <c r="E11" i="4" a="1"/>
  <c r="E10" i="4" a="1"/>
  <c r="E8" i="4" a="1"/>
  <c r="E7" i="4" a="1"/>
  <c r="E6" i="4" a="1"/>
  <c r="J40" i="3" a="1"/>
  <c r="J39" i="3" a="1"/>
  <c r="J38" i="3" a="1"/>
  <c r="J37" i="3" a="1"/>
  <c r="J36" i="3" a="1"/>
  <c r="J35" i="3" a="1"/>
  <c r="J34" i="3" a="1"/>
  <c r="J33" i="3" a="1"/>
  <c r="J32" i="3" a="1"/>
  <c r="J30" i="3" a="1"/>
  <c r="J29" i="3" a="1"/>
  <c r="J28" i="3" a="1"/>
  <c r="J27" i="3" a="1"/>
  <c r="J26" i="3" a="1"/>
  <c r="J25" i="3" a="1"/>
  <c r="J24" i="3" a="1"/>
  <c r="J23" i="3" a="1"/>
  <c r="J22" i="3" a="1"/>
  <c r="J21" i="3" a="1"/>
  <c r="J20" i="3" a="1"/>
  <c r="J19" i="3" a="1"/>
  <c r="J18" i="3" a="1"/>
  <c r="J17" i="3" a="1"/>
  <c r="J16" i="3" a="1"/>
  <c r="J15" i="3" a="1"/>
  <c r="J14" i="3" a="1"/>
  <c r="J12" i="3" a="1"/>
  <c r="J11" i="3" a="1"/>
  <c r="J10" i="3" a="1"/>
  <c r="J8" i="3" a="1"/>
  <c r="J7" i="3" a="1"/>
  <c r="J6" i="3" a="1"/>
  <c r="I40" i="3" a="1"/>
  <c r="I39" i="3" a="1"/>
  <c r="I38" i="3" a="1"/>
  <c r="I37" i="3" a="1"/>
  <c r="I36" i="3" a="1"/>
  <c r="I35" i="3" a="1"/>
  <c r="I34" i="3" a="1"/>
  <c r="I33" i="3" a="1"/>
  <c r="I32" i="3" a="1"/>
  <c r="I30" i="3" a="1"/>
  <c r="I29" i="3" a="1"/>
  <c r="I28" i="3" a="1"/>
  <c r="I27" i="3" a="1"/>
  <c r="I26" i="3" a="1"/>
  <c r="I25" i="3" a="1"/>
  <c r="I24" i="3" a="1"/>
  <c r="I23" i="3" a="1"/>
  <c r="I22" i="3" a="1"/>
  <c r="I21" i="3" a="1"/>
  <c r="I20" i="3" a="1"/>
  <c r="I19" i="3" a="1"/>
  <c r="I18" i="3" a="1"/>
  <c r="I17" i="3" a="1"/>
  <c r="I16" i="3" a="1"/>
  <c r="I15" i="3" a="1"/>
  <c r="I14" i="3" a="1"/>
  <c r="I12" i="3" a="1"/>
  <c r="I11" i="3" a="1"/>
  <c r="I10" i="3" a="1"/>
  <c r="I8" i="3" a="1"/>
  <c r="I7" i="3" a="1"/>
  <c r="I6" i="3" a="1"/>
  <c r="H40" i="3" a="1"/>
  <c r="H39" i="3" a="1"/>
  <c r="H38" i="3" a="1"/>
  <c r="H37" i="3" a="1"/>
  <c r="H36" i="3" a="1"/>
  <c r="H35" i="3" a="1"/>
  <c r="H34" i="3" a="1"/>
  <c r="H33" i="3" a="1"/>
  <c r="H32" i="3" a="1"/>
  <c r="H30" i="3" a="1"/>
  <c r="H29" i="3" a="1"/>
  <c r="H28" i="3" a="1"/>
  <c r="H27" i="3" a="1"/>
  <c r="H26" i="3" a="1"/>
  <c r="H25" i="3" a="1"/>
  <c r="H24" i="3" a="1"/>
  <c r="H23" i="3" a="1"/>
  <c r="H22" i="3" a="1"/>
  <c r="H21" i="3" a="1"/>
  <c r="H20" i="3" a="1"/>
  <c r="H19" i="3" a="1"/>
  <c r="H18" i="3" a="1"/>
  <c r="H17" i="3" a="1"/>
  <c r="H16" i="3" a="1"/>
  <c r="H15" i="3" a="1"/>
  <c r="H14" i="3" a="1"/>
  <c r="H12" i="3" a="1"/>
  <c r="H11" i="3" a="1"/>
  <c r="H10" i="3" a="1"/>
  <c r="H8" i="3" a="1"/>
  <c r="H7" i="3" a="1"/>
  <c r="H6" i="3" a="1"/>
  <c r="G40" i="3" a="1"/>
  <c r="G39" i="3" a="1"/>
  <c r="G38" i="3" a="1"/>
  <c r="G37" i="3" a="1"/>
  <c r="G36" i="3" a="1"/>
  <c r="G35" i="3" a="1"/>
  <c r="G34" i="3" a="1"/>
  <c r="G33" i="3" a="1"/>
  <c r="G32" i="3" a="1"/>
  <c r="G30" i="3" a="1"/>
  <c r="G29" i="3" a="1"/>
  <c r="G28" i="3" a="1"/>
  <c r="G27" i="3" a="1"/>
  <c r="G26" i="3" a="1"/>
  <c r="G25" i="3" a="1"/>
  <c r="G24" i="3" a="1"/>
  <c r="G23" i="3" a="1"/>
  <c r="G22" i="3" a="1"/>
  <c r="G21" i="3" a="1"/>
  <c r="G20" i="3" a="1"/>
  <c r="G19" i="3" a="1"/>
  <c r="G18" i="3" a="1"/>
  <c r="G17" i="3" a="1"/>
  <c r="G16" i="3" a="1"/>
  <c r="G15" i="3" a="1"/>
  <c r="G14" i="3" a="1"/>
  <c r="G12" i="3" a="1"/>
  <c r="G11" i="3" a="1"/>
  <c r="G10" i="3" a="1"/>
  <c r="G8" i="3" a="1"/>
  <c r="G7" i="3" a="1"/>
  <c r="G6" i="3" a="1"/>
  <c r="F40" i="3" a="1"/>
  <c r="F39" i="3" a="1"/>
  <c r="F38" i="3" a="1"/>
  <c r="F37" i="3" a="1"/>
  <c r="F36" i="3" a="1"/>
  <c r="F35" i="3" a="1"/>
  <c r="F34" i="3" a="1"/>
  <c r="F33" i="3" a="1"/>
  <c r="F32" i="3" a="1"/>
  <c r="F30" i="3" a="1"/>
  <c r="F29" i="3" a="1"/>
  <c r="F28" i="3" a="1"/>
  <c r="F27" i="3" a="1"/>
  <c r="F26" i="3" a="1"/>
  <c r="F25" i="3" a="1"/>
  <c r="F24" i="3" a="1"/>
  <c r="F23" i="3" a="1"/>
  <c r="F22" i="3" a="1"/>
  <c r="F21" i="3" a="1"/>
  <c r="F20" i="3" a="1"/>
  <c r="F19" i="3" a="1"/>
  <c r="F18" i="3" a="1"/>
  <c r="F17" i="3" a="1"/>
  <c r="F16" i="3" a="1"/>
  <c r="F15" i="3" a="1"/>
  <c r="F14" i="3" a="1"/>
  <c r="F12" i="3" a="1"/>
  <c r="F11" i="3" a="1"/>
  <c r="F10" i="3" a="1"/>
  <c r="F8" i="3" a="1"/>
  <c r="F7" i="3" a="1"/>
  <c r="F6" i="3" a="1"/>
  <c r="E40" i="3" a="1"/>
  <c r="E39" i="3" a="1"/>
  <c r="E38" i="3" a="1"/>
  <c r="E37" i="3" a="1"/>
  <c r="E36" i="3" a="1"/>
  <c r="E35" i="3" a="1"/>
  <c r="E34" i="3" a="1"/>
  <c r="E33" i="3" a="1"/>
  <c r="E32" i="3" a="1"/>
  <c r="E30" i="3" a="1"/>
  <c r="E29" i="3" a="1"/>
  <c r="E28" i="3" a="1"/>
  <c r="E27" i="3" a="1"/>
  <c r="E26" i="3" a="1"/>
  <c r="E25" i="3" a="1"/>
  <c r="E24" i="3" a="1"/>
  <c r="E23" i="3" a="1"/>
  <c r="E22" i="3" a="1"/>
  <c r="E21" i="3" a="1"/>
  <c r="E20" i="3" a="1"/>
  <c r="E19" i="3" a="1"/>
  <c r="E18" i="3" a="1"/>
  <c r="E17" i="3" a="1"/>
  <c r="E16" i="3" a="1"/>
  <c r="E15" i="3" a="1"/>
  <c r="E14" i="3" a="1"/>
  <c r="E12" i="3" a="1"/>
  <c r="E11" i="3" a="1"/>
  <c r="E10" i="3" a="1"/>
  <c r="E8" i="3" a="1"/>
  <c r="E7" i="3" a="1"/>
  <c r="E6" i="3" a="1"/>
  <c r="J40" i="2" a="1"/>
  <c r="J39" i="2" a="1"/>
  <c r="J38" i="2" a="1"/>
  <c r="J37" i="2" a="1"/>
  <c r="J36" i="2" a="1"/>
  <c r="J35" i="2" a="1"/>
  <c r="J34" i="2" a="1"/>
  <c r="J33" i="2" a="1"/>
  <c r="J32" i="2" a="1"/>
  <c r="J30" i="2" a="1"/>
  <c r="J29" i="2" a="1"/>
  <c r="J28" i="2" a="1"/>
  <c r="J27" i="2" a="1"/>
  <c r="J26" i="2" a="1"/>
  <c r="J25" i="2" a="1"/>
  <c r="J24" i="2" a="1"/>
  <c r="J23" i="2" a="1"/>
  <c r="J22" i="2" a="1"/>
  <c r="J21" i="2" a="1"/>
  <c r="J20" i="2" a="1"/>
  <c r="J19" i="2" a="1"/>
  <c r="J18" i="2" a="1"/>
  <c r="J17" i="2" a="1"/>
  <c r="J16" i="2" a="1"/>
  <c r="J15" i="2" a="1"/>
  <c r="J14" i="2" a="1"/>
  <c r="J12" i="2" a="1"/>
  <c r="I40" i="2" a="1"/>
  <c r="I39" i="2" a="1"/>
  <c r="I38" i="2" a="1"/>
  <c r="I37" i="2" a="1"/>
  <c r="I36" i="2" a="1"/>
  <c r="I35" i="2" a="1"/>
  <c r="I34" i="2" a="1"/>
  <c r="I33" i="2" a="1"/>
  <c r="I32" i="2" a="1"/>
  <c r="I30" i="2" a="1"/>
  <c r="I29" i="2" a="1"/>
  <c r="I28" i="2" a="1"/>
  <c r="I27" i="2" a="1"/>
  <c r="I26" i="2" a="1"/>
  <c r="I25" i="2" a="1"/>
  <c r="I24" i="2" a="1"/>
  <c r="I23" i="2" a="1"/>
  <c r="I22" i="2" a="1"/>
  <c r="I21" i="2" a="1"/>
  <c r="I20" i="2" a="1"/>
  <c r="I19" i="2" a="1"/>
  <c r="I18" i="2" a="1"/>
  <c r="I17" i="2" a="1"/>
  <c r="I16" i="2" a="1"/>
  <c r="I15" i="2" a="1"/>
  <c r="I14" i="2" a="1"/>
  <c r="I12" i="2" a="1"/>
  <c r="H40" i="2" a="1"/>
  <c r="H39" i="2" a="1"/>
  <c r="H38" i="2" a="1"/>
  <c r="H37" i="2" a="1"/>
  <c r="H36" i="2" a="1"/>
  <c r="H35" i="2" a="1"/>
  <c r="H34" i="2" a="1"/>
  <c r="H33" i="2" a="1"/>
  <c r="H32" i="2" a="1"/>
  <c r="H30" i="2" a="1"/>
  <c r="H29" i="2" a="1"/>
  <c r="H28" i="2" a="1"/>
  <c r="H27" i="2" a="1"/>
  <c r="H26" i="2" a="1"/>
  <c r="H25" i="2" a="1"/>
  <c r="H24" i="2" a="1"/>
  <c r="H23" i="2" a="1"/>
  <c r="H22" i="2" a="1"/>
  <c r="H21" i="2" a="1"/>
  <c r="H20" i="2" a="1"/>
  <c r="H19" i="2" a="1"/>
  <c r="H18" i="2" a="1"/>
  <c r="H17" i="2" a="1"/>
  <c r="H16" i="2" a="1"/>
  <c r="H15" i="2" a="1"/>
  <c r="H14" i="2" a="1"/>
  <c r="H12" i="2" a="1"/>
  <c r="H10" i="2" a="1"/>
  <c r="G40" i="2" a="1"/>
  <c r="G39" i="2" a="1"/>
  <c r="G38" i="2" a="1"/>
  <c r="G37" i="2" a="1"/>
  <c r="G36" i="2" a="1"/>
  <c r="G35" i="2" a="1"/>
  <c r="G34" i="2" a="1"/>
  <c r="G33" i="2" a="1"/>
  <c r="G32" i="2" a="1"/>
  <c r="G30" i="2" a="1"/>
  <c r="G29" i="2" a="1"/>
  <c r="G28" i="2" a="1"/>
  <c r="G27" i="2" a="1"/>
  <c r="G26" i="2" a="1"/>
  <c r="G25" i="2" a="1"/>
  <c r="G24" i="2" a="1"/>
  <c r="G23" i="2" a="1"/>
  <c r="G22" i="2" a="1"/>
  <c r="G21" i="2" a="1"/>
  <c r="G20" i="2" a="1"/>
  <c r="G19" i="2" a="1"/>
  <c r="G18" i="2" a="1"/>
  <c r="G17" i="2" a="1"/>
  <c r="G16" i="2" a="1"/>
  <c r="G15" i="2" a="1"/>
  <c r="G14" i="2" a="1"/>
  <c r="G12" i="2" a="1"/>
  <c r="F40" i="2" a="1"/>
  <c r="F39" i="2" a="1"/>
  <c r="F38" i="2" a="1"/>
  <c r="F37" i="2" a="1"/>
  <c r="F36" i="2" a="1"/>
  <c r="F35" i="2" a="1"/>
  <c r="F34" i="2" a="1"/>
  <c r="F33" i="2" a="1"/>
  <c r="F32" i="2" a="1"/>
  <c r="F30" i="2" a="1"/>
  <c r="F29" i="2" a="1"/>
  <c r="F28" i="2" a="1"/>
  <c r="F27" i="2" a="1"/>
  <c r="F26" i="2" a="1"/>
  <c r="F25" i="2" a="1"/>
  <c r="F24" i="2" a="1"/>
  <c r="F23" i="2" a="1"/>
  <c r="F22" i="2" a="1"/>
  <c r="F21" i="2" a="1"/>
  <c r="F20" i="2" a="1"/>
  <c r="F19" i="2" a="1"/>
  <c r="F18" i="2" a="1"/>
  <c r="F17" i="2" a="1"/>
  <c r="F16" i="2" a="1"/>
  <c r="F15" i="2" a="1"/>
  <c r="F14" i="2" a="1"/>
  <c r="F12" i="2" a="1"/>
  <c r="E40" i="2" a="1"/>
  <c r="E39" i="2" a="1"/>
  <c r="E38" i="2" a="1"/>
  <c r="E37" i="2" a="1"/>
  <c r="E36" i="2" a="1"/>
  <c r="E35" i="2" a="1"/>
  <c r="E34" i="2" a="1"/>
  <c r="E33" i="2" a="1"/>
  <c r="E32" i="2" a="1"/>
  <c r="E30" i="2" a="1"/>
  <c r="E29" i="2" a="1"/>
  <c r="E28" i="2" a="1"/>
  <c r="E27" i="2" a="1"/>
  <c r="E26" i="2" a="1"/>
  <c r="E25" i="2" a="1"/>
  <c r="E24" i="2" a="1"/>
  <c r="E23" i="2" a="1"/>
  <c r="E22" i="2" a="1"/>
  <c r="E21" i="2" a="1"/>
  <c r="E20" i="2" a="1"/>
  <c r="E19" i="2" a="1"/>
  <c r="E18" i="2" a="1"/>
  <c r="E17" i="2" a="1"/>
  <c r="E16" i="2" a="1"/>
  <c r="E15" i="2" a="1"/>
  <c r="E14" i="2" a="1"/>
  <c r="E12" i="2" a="1"/>
  <c r="J11" i="2" a="1"/>
  <c r="I11" i="2" a="1"/>
  <c r="H11" i="2" a="1"/>
  <c r="G11" i="2" a="1"/>
  <c r="F11" i="2" a="1"/>
  <c r="E11" i="2" a="1"/>
  <c r="J10" i="2" a="1"/>
  <c r="I10" i="2" a="1"/>
  <c r="G10" i="2" a="1"/>
  <c r="F10" i="2" a="1"/>
  <c r="E10" i="2" a="1"/>
  <c r="J8" i="2" a="1"/>
  <c r="I8" i="2" a="1"/>
  <c r="H8" i="2" a="1"/>
  <c r="G8" i="2" a="1"/>
  <c r="F8" i="2" a="1"/>
  <c r="E8" i="2" a="1"/>
  <c r="J7" i="2" a="1"/>
  <c r="I7" i="2" a="1"/>
  <c r="H7" i="2" a="1"/>
  <c r="G7" i="2" a="1"/>
  <c r="F7" i="2" a="1"/>
  <c r="E7" i="2" a="1"/>
  <c r="J6" i="2" a="1"/>
  <c r="I6" i="2" a="1"/>
  <c r="H6" i="2" a="1"/>
  <c r="G6" i="2" a="1"/>
  <c r="F6" i="2" a="1"/>
  <c r="E6" i="2" a="1"/>
  <c r="J40" i="3"/>
  <c r="I40" i="3"/>
  <c r="H40" i="3"/>
  <c r="G40" i="3"/>
  <c r="F40" i="3"/>
  <c r="E40" i="3"/>
  <c r="J39" i="3"/>
  <c r="I39" i="3"/>
  <c r="H39" i="3"/>
  <c r="G39" i="3"/>
  <c r="F39" i="3"/>
  <c r="E39" i="3"/>
  <c r="J38" i="3"/>
  <c r="I38" i="3"/>
  <c r="H38" i="3"/>
  <c r="G38" i="3"/>
  <c r="F38" i="3"/>
  <c r="E38" i="3"/>
  <c r="J37" i="3"/>
  <c r="I37" i="3"/>
  <c r="H37" i="3"/>
  <c r="G37" i="3"/>
  <c r="F37" i="3"/>
  <c r="E37" i="3"/>
  <c r="J36" i="3"/>
  <c r="I36" i="3"/>
  <c r="H36" i="3"/>
  <c r="G36" i="3"/>
  <c r="F36" i="3"/>
  <c r="E36" i="3"/>
  <c r="J35" i="3"/>
  <c r="I35" i="3"/>
  <c r="H35" i="3"/>
  <c r="G35" i="3"/>
  <c r="F35" i="3"/>
  <c r="E35" i="3"/>
  <c r="J34" i="3"/>
  <c r="I34" i="3"/>
  <c r="H34" i="3"/>
  <c r="G34" i="3"/>
  <c r="F34" i="3"/>
  <c r="E34" i="3"/>
  <c r="J33" i="3"/>
  <c r="I33" i="3"/>
  <c r="H33" i="3"/>
  <c r="G33" i="3"/>
  <c r="F33" i="3"/>
  <c r="E33" i="3"/>
  <c r="J32" i="3"/>
  <c r="I32" i="3"/>
  <c r="H32" i="3"/>
  <c r="G32" i="3"/>
  <c r="F32" i="3"/>
  <c r="E32" i="3"/>
  <c r="J30" i="3"/>
  <c r="I30" i="3"/>
  <c r="H30" i="3"/>
  <c r="G30" i="3"/>
  <c r="F30" i="3"/>
  <c r="E30" i="3"/>
  <c r="J29" i="3"/>
  <c r="I29" i="3"/>
  <c r="H29" i="3"/>
  <c r="G29" i="3"/>
  <c r="F29" i="3"/>
  <c r="E29" i="3"/>
  <c r="J28" i="3"/>
  <c r="I28" i="3"/>
  <c r="H28" i="3"/>
  <c r="G28" i="3"/>
  <c r="F28" i="3"/>
  <c r="E28" i="3"/>
  <c r="J27" i="3"/>
  <c r="I27" i="3"/>
  <c r="H27" i="3"/>
  <c r="G27" i="3"/>
  <c r="F27" i="3"/>
  <c r="E27" i="3"/>
  <c r="J26" i="3"/>
  <c r="I26" i="3"/>
  <c r="H26" i="3"/>
  <c r="G26" i="3"/>
  <c r="F26" i="3"/>
  <c r="E26" i="3"/>
  <c r="J25" i="3"/>
  <c r="I25" i="3"/>
  <c r="H25" i="3"/>
  <c r="G25" i="3"/>
  <c r="F25" i="3"/>
  <c r="E25" i="3"/>
  <c r="J24" i="3"/>
  <c r="I24" i="3"/>
  <c r="H24" i="3"/>
  <c r="G24" i="3"/>
  <c r="F24" i="3"/>
  <c r="E24" i="3"/>
  <c r="J23" i="3"/>
  <c r="I23" i="3"/>
  <c r="H23" i="3"/>
  <c r="G23" i="3"/>
  <c r="F23" i="3"/>
  <c r="E23" i="3"/>
  <c r="J22" i="3"/>
  <c r="I22" i="3"/>
  <c r="H22" i="3"/>
  <c r="G22" i="3"/>
  <c r="F22" i="3"/>
  <c r="E22" i="3"/>
  <c r="J21" i="3"/>
  <c r="I21" i="3"/>
  <c r="H21" i="3"/>
  <c r="G21" i="3"/>
  <c r="F21" i="3"/>
  <c r="E21" i="3"/>
  <c r="J20" i="3"/>
  <c r="I20" i="3"/>
  <c r="H20" i="3"/>
  <c r="G20" i="3"/>
  <c r="F20" i="3"/>
  <c r="E20" i="3"/>
  <c r="J19" i="3"/>
  <c r="I19" i="3"/>
  <c r="H19" i="3"/>
  <c r="G19" i="3"/>
  <c r="F19" i="3"/>
  <c r="E19" i="3"/>
  <c r="J18" i="3"/>
  <c r="I18" i="3"/>
  <c r="H18" i="3"/>
  <c r="G18" i="3"/>
  <c r="F18" i="3"/>
  <c r="E18" i="3"/>
  <c r="J17" i="3"/>
  <c r="I17" i="3"/>
  <c r="H17" i="3"/>
  <c r="G17" i="3"/>
  <c r="F17" i="3"/>
  <c r="E17" i="3"/>
  <c r="J16" i="3"/>
  <c r="I16" i="3"/>
  <c r="H16" i="3"/>
  <c r="G16" i="3"/>
  <c r="F16" i="3"/>
  <c r="E16" i="3"/>
  <c r="J15" i="3"/>
  <c r="I15" i="3"/>
  <c r="H15" i="3"/>
  <c r="G15" i="3"/>
  <c r="F15" i="3"/>
  <c r="E15" i="3"/>
  <c r="J14" i="3"/>
  <c r="I14" i="3"/>
  <c r="H14" i="3"/>
  <c r="G14" i="3"/>
  <c r="F14" i="3"/>
  <c r="E14" i="3"/>
  <c r="J12" i="3"/>
  <c r="I12" i="3"/>
  <c r="H12" i="3"/>
  <c r="G12" i="3"/>
  <c r="F12" i="3"/>
  <c r="E12" i="3"/>
  <c r="J11" i="3"/>
  <c r="I11" i="3"/>
  <c r="H11" i="3"/>
  <c r="G11" i="3"/>
  <c r="F11" i="3"/>
  <c r="E11" i="3"/>
  <c r="J10" i="3"/>
  <c r="I10" i="3"/>
  <c r="H10" i="3"/>
  <c r="G10" i="3"/>
  <c r="F10" i="3"/>
  <c r="E10" i="3"/>
  <c r="J8" i="3"/>
  <c r="I8" i="3"/>
  <c r="H8" i="3"/>
  <c r="G8" i="3"/>
  <c r="F8" i="3"/>
  <c r="E8" i="3"/>
  <c r="J7" i="3"/>
  <c r="I7" i="3"/>
  <c r="H7" i="3"/>
  <c r="G7" i="3"/>
  <c r="F7" i="3"/>
  <c r="E7" i="3"/>
  <c r="J6" i="3"/>
  <c r="I6" i="3"/>
  <c r="H6" i="3"/>
  <c r="G6" i="3"/>
  <c r="F6" i="3"/>
  <c r="E6" i="3"/>
  <c r="J40" i="2"/>
  <c r="I40" i="2"/>
  <c r="H40" i="2"/>
  <c r="G40" i="2"/>
  <c r="F40" i="2"/>
  <c r="E40" i="2"/>
  <c r="J39" i="2"/>
  <c r="I39" i="2"/>
  <c r="H39" i="2"/>
  <c r="G39" i="2"/>
  <c r="F39" i="2"/>
  <c r="E39" i="2"/>
  <c r="J38" i="2"/>
  <c r="I38" i="2"/>
  <c r="H38" i="2"/>
  <c r="G38" i="2"/>
  <c r="F38" i="2"/>
  <c r="E38" i="2"/>
  <c r="J37" i="2"/>
  <c r="I37" i="2"/>
  <c r="H37" i="2"/>
  <c r="G37" i="2"/>
  <c r="F37" i="2"/>
  <c r="E37" i="2"/>
  <c r="J36" i="2"/>
  <c r="I36" i="2"/>
  <c r="H36" i="2"/>
  <c r="G36" i="2"/>
  <c r="F36" i="2"/>
  <c r="E36" i="2"/>
  <c r="J35" i="2"/>
  <c r="I35" i="2"/>
  <c r="H35" i="2"/>
  <c r="G35" i="2"/>
  <c r="F35" i="2"/>
  <c r="E35" i="2"/>
  <c r="J34" i="2"/>
  <c r="I34" i="2"/>
  <c r="H34" i="2"/>
  <c r="G34" i="2"/>
  <c r="F34" i="2"/>
  <c r="E34" i="2"/>
  <c r="J33" i="2"/>
  <c r="I33" i="2"/>
  <c r="H33" i="2"/>
  <c r="G33" i="2"/>
  <c r="F33" i="2"/>
  <c r="E33" i="2"/>
  <c r="J32" i="2"/>
  <c r="I32" i="2"/>
  <c r="H32" i="2"/>
  <c r="G32" i="2"/>
  <c r="F32" i="2"/>
  <c r="E32" i="2"/>
  <c r="J30" i="2"/>
  <c r="I30" i="2"/>
  <c r="H30" i="2"/>
  <c r="G30" i="2"/>
  <c r="F30" i="2"/>
  <c r="E30" i="2"/>
  <c r="J29" i="2"/>
  <c r="I29" i="2"/>
  <c r="H29" i="2"/>
  <c r="G29" i="2"/>
  <c r="F29" i="2"/>
  <c r="E29" i="2"/>
  <c r="J28" i="2"/>
  <c r="I28" i="2"/>
  <c r="H28" i="2"/>
  <c r="G28" i="2"/>
  <c r="F28" i="2"/>
  <c r="E28" i="2"/>
  <c r="J27" i="2"/>
  <c r="I27" i="2"/>
  <c r="H27" i="2"/>
  <c r="G27" i="2"/>
  <c r="F27" i="2"/>
  <c r="E27" i="2"/>
  <c r="J26" i="2"/>
  <c r="I26" i="2"/>
  <c r="H26" i="2"/>
  <c r="G26" i="2"/>
  <c r="F26" i="2"/>
  <c r="E26" i="2"/>
  <c r="J25" i="2"/>
  <c r="I25" i="2"/>
  <c r="H25" i="2"/>
  <c r="G25" i="2"/>
  <c r="F25" i="2"/>
  <c r="E25" i="2"/>
  <c r="J24" i="2"/>
  <c r="I24" i="2"/>
  <c r="H24" i="2"/>
  <c r="G24" i="2"/>
  <c r="F24" i="2"/>
  <c r="E24" i="2"/>
  <c r="J23" i="2"/>
  <c r="I23" i="2"/>
  <c r="H23" i="2"/>
  <c r="G23" i="2"/>
  <c r="F23" i="2"/>
  <c r="E23" i="2"/>
  <c r="J22" i="2"/>
  <c r="I22" i="2"/>
  <c r="H22" i="2"/>
  <c r="G22" i="2"/>
  <c r="F22" i="2"/>
  <c r="E22" i="2"/>
  <c r="J21" i="2"/>
  <c r="I21" i="2"/>
  <c r="H21" i="2"/>
  <c r="G21" i="2"/>
  <c r="F21" i="2"/>
  <c r="E21" i="2"/>
  <c r="J20" i="2"/>
  <c r="I20" i="2"/>
  <c r="H20" i="2"/>
  <c r="G20" i="2"/>
  <c r="F20" i="2"/>
  <c r="E20" i="2"/>
  <c r="J19" i="2"/>
  <c r="I19" i="2"/>
  <c r="H19" i="2"/>
  <c r="G19" i="2"/>
  <c r="F19" i="2"/>
  <c r="E19" i="2"/>
  <c r="J18" i="2"/>
  <c r="I18" i="2"/>
  <c r="H18" i="2"/>
  <c r="G18" i="2"/>
  <c r="F18" i="2"/>
  <c r="E18" i="2"/>
  <c r="J17" i="2"/>
  <c r="I17" i="2"/>
  <c r="H17" i="2"/>
  <c r="G17" i="2"/>
  <c r="F17" i="2"/>
  <c r="E17" i="2"/>
  <c r="J16" i="2"/>
  <c r="I16" i="2"/>
  <c r="H16" i="2"/>
  <c r="G16" i="2"/>
  <c r="F16" i="2"/>
  <c r="E16" i="2"/>
  <c r="J15" i="2"/>
  <c r="I15" i="2"/>
  <c r="H15" i="2"/>
  <c r="G15" i="2"/>
  <c r="F15" i="2"/>
  <c r="E15" i="2"/>
  <c r="J14" i="2"/>
  <c r="I14" i="2"/>
  <c r="H14" i="2"/>
  <c r="G14" i="2"/>
  <c r="F14" i="2"/>
  <c r="E14" i="2"/>
  <c r="J12" i="2"/>
  <c r="I12" i="2"/>
  <c r="H12" i="2"/>
  <c r="G12" i="2"/>
  <c r="F12" i="2"/>
  <c r="E12" i="2"/>
  <c r="J11" i="2"/>
  <c r="I11" i="2"/>
  <c r="H11" i="2"/>
  <c r="G11" i="2"/>
  <c r="F11" i="2"/>
  <c r="E11" i="2"/>
  <c r="J10" i="2"/>
  <c r="I10" i="2"/>
  <c r="H10" i="2"/>
  <c r="G10" i="2"/>
  <c r="F10" i="2"/>
  <c r="E10" i="2"/>
  <c r="J8" i="2"/>
  <c r="I8" i="2"/>
  <c r="H8" i="2"/>
  <c r="G8" i="2"/>
  <c r="F8" i="2"/>
  <c r="E8" i="2"/>
  <c r="J7" i="2"/>
  <c r="I7" i="2"/>
  <c r="H7" i="2"/>
  <c r="G7" i="2"/>
  <c r="F7" i="2"/>
  <c r="E7" i="2"/>
  <c r="J6" i="2"/>
  <c r="I6" i="2"/>
  <c r="H6" i="2"/>
  <c r="G6" i="2"/>
  <c r="F6" i="2"/>
  <c r="E6" i="2"/>
  <c r="J40" i="4"/>
  <c r="I40" i="4"/>
  <c r="H40" i="4"/>
  <c r="G40" i="4"/>
  <c r="F40" i="4"/>
  <c r="E40" i="4"/>
  <c r="J39" i="4"/>
  <c r="I39" i="4"/>
  <c r="H39" i="4"/>
  <c r="G39" i="4"/>
  <c r="F39" i="4"/>
  <c r="E39" i="4"/>
  <c r="J38" i="4"/>
  <c r="I38" i="4"/>
  <c r="H38" i="4"/>
  <c r="G38" i="4"/>
  <c r="F38" i="4"/>
  <c r="E38" i="4"/>
  <c r="J37" i="4"/>
  <c r="I37" i="4"/>
  <c r="H37" i="4"/>
  <c r="G37" i="4"/>
  <c r="F37" i="4"/>
  <c r="E37" i="4"/>
  <c r="J36" i="4"/>
  <c r="I36" i="4"/>
  <c r="H36" i="4"/>
  <c r="G36" i="4"/>
  <c r="F36" i="4"/>
  <c r="E36" i="4"/>
  <c r="J35" i="4"/>
  <c r="I35" i="4"/>
  <c r="H35" i="4"/>
  <c r="G35" i="4"/>
  <c r="F35" i="4"/>
  <c r="E35" i="4"/>
  <c r="J34" i="4"/>
  <c r="I34" i="4"/>
  <c r="H34" i="4"/>
  <c r="G34" i="4"/>
  <c r="F34" i="4"/>
  <c r="E34" i="4"/>
  <c r="J33" i="4"/>
  <c r="I33" i="4"/>
  <c r="H33" i="4"/>
  <c r="G33" i="4"/>
  <c r="F33" i="4"/>
  <c r="E33" i="4"/>
  <c r="J32" i="4"/>
  <c r="I32" i="4"/>
  <c r="H32" i="4"/>
  <c r="G32" i="4"/>
  <c r="F32" i="4"/>
  <c r="E32" i="4"/>
  <c r="J30" i="4"/>
  <c r="I30" i="4"/>
  <c r="H30" i="4"/>
  <c r="G30" i="4"/>
  <c r="F30" i="4"/>
  <c r="E30" i="4"/>
  <c r="J29" i="4"/>
  <c r="I29" i="4"/>
  <c r="H29" i="4"/>
  <c r="G29" i="4"/>
  <c r="F29" i="4"/>
  <c r="E29" i="4"/>
  <c r="J28" i="4"/>
  <c r="I28" i="4"/>
  <c r="H28" i="4"/>
  <c r="G28" i="4"/>
  <c r="F28" i="4"/>
  <c r="E28" i="4"/>
  <c r="J27" i="4"/>
  <c r="I27" i="4"/>
  <c r="H27" i="4"/>
  <c r="G27" i="4"/>
  <c r="F27" i="4"/>
  <c r="E27" i="4"/>
  <c r="J26" i="4"/>
  <c r="I26" i="4"/>
  <c r="H26" i="4"/>
  <c r="G26" i="4"/>
  <c r="F26" i="4"/>
  <c r="E26" i="4"/>
  <c r="J25" i="4"/>
  <c r="I25" i="4"/>
  <c r="H25" i="4"/>
  <c r="G25" i="4"/>
  <c r="F25" i="4"/>
  <c r="E25" i="4"/>
  <c r="J24" i="4"/>
  <c r="I24" i="4"/>
  <c r="H24" i="4"/>
  <c r="G24" i="4"/>
  <c r="F24" i="4"/>
  <c r="E24" i="4"/>
  <c r="J23" i="4"/>
  <c r="I23" i="4"/>
  <c r="H23" i="4"/>
  <c r="G23" i="4"/>
  <c r="F23" i="4"/>
  <c r="E23" i="4"/>
  <c r="J22" i="4"/>
  <c r="I22" i="4"/>
  <c r="H22" i="4"/>
  <c r="G22" i="4"/>
  <c r="F22" i="4"/>
  <c r="E22" i="4"/>
  <c r="J21" i="4"/>
  <c r="I21" i="4"/>
  <c r="H21" i="4"/>
  <c r="G21" i="4"/>
  <c r="F21" i="4"/>
  <c r="E21" i="4"/>
  <c r="J20" i="4"/>
  <c r="I20" i="4"/>
  <c r="H20" i="4"/>
  <c r="G20" i="4"/>
  <c r="F20" i="4"/>
  <c r="E20" i="4"/>
  <c r="J19" i="4"/>
  <c r="I19" i="4"/>
  <c r="H19" i="4"/>
  <c r="G19" i="4"/>
  <c r="F19" i="4"/>
  <c r="E19" i="4"/>
  <c r="J18" i="4"/>
  <c r="I18" i="4"/>
  <c r="H18" i="4"/>
  <c r="G18" i="4"/>
  <c r="F18" i="4"/>
  <c r="E18" i="4"/>
  <c r="J17" i="4"/>
  <c r="I17" i="4"/>
  <c r="H17" i="4"/>
  <c r="G17" i="4"/>
  <c r="F17" i="4"/>
  <c r="E17" i="4"/>
  <c r="J16" i="4"/>
  <c r="I16" i="4"/>
  <c r="H16" i="4"/>
  <c r="G16" i="4"/>
  <c r="F16" i="4"/>
  <c r="E16" i="4"/>
  <c r="J15" i="4"/>
  <c r="I15" i="4"/>
  <c r="H15" i="4"/>
  <c r="G15" i="4"/>
  <c r="F15" i="4"/>
  <c r="E15" i="4"/>
  <c r="J14" i="4"/>
  <c r="I14" i="4"/>
  <c r="H14" i="4"/>
  <c r="G14" i="4"/>
  <c r="F14" i="4"/>
  <c r="E14" i="4"/>
  <c r="J12" i="4"/>
  <c r="I12" i="4"/>
  <c r="H12" i="4"/>
  <c r="G12" i="4"/>
  <c r="F12" i="4"/>
  <c r="E12" i="4"/>
  <c r="J11" i="4"/>
  <c r="I11" i="4"/>
  <c r="H11" i="4"/>
  <c r="G11" i="4"/>
  <c r="F11" i="4"/>
  <c r="E11" i="4"/>
  <c r="J10" i="4"/>
  <c r="I10" i="4"/>
  <c r="H10" i="4"/>
  <c r="G10" i="4"/>
  <c r="F10" i="4"/>
  <c r="E10" i="4"/>
  <c r="J8" i="4"/>
  <c r="I8" i="4"/>
  <c r="H8" i="4"/>
  <c r="G8" i="4"/>
  <c r="F8" i="4"/>
  <c r="E8" i="4"/>
  <c r="J7" i="4"/>
  <c r="I7" i="4"/>
  <c r="H7" i="4"/>
  <c r="G7" i="4"/>
  <c r="F7" i="4"/>
  <c r="E7" i="4"/>
  <c r="J6" i="4"/>
  <c r="I6" i="4"/>
  <c r="H6" i="4"/>
  <c r="G6" i="4"/>
  <c r="F6" i="4"/>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 authorId="0" shapeId="0" xr:uid="{00000000-0006-0000-01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Nên tính theo giới tính khi sinh hay theo nhóm KP?</t>
        </r>
      </text>
    </comment>
    <comment ref="C7" authorId="0" shapeId="0" xr:uid="{00000000-0006-0000-0100-000001000000}">
      <text>
        <r>
          <rPr>
            <sz val="10"/>
            <rFont val="Arial"/>
            <family val="2"/>
          </rPr>
          <t>Tổng số KH nhận được bất kỳ dịch vụ nào trong kỳ báo cáo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 authorId="0" shapeId="0" xr:uid="{00000000-0006-0000-02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Nên tính theo giới tính khi sinh hay theo nhóm KP?</t>
        </r>
      </text>
    </comment>
    <comment ref="C7" authorId="0" shapeId="0" xr:uid="{00000000-0006-0000-0200-000001000000}">
      <text>
        <r>
          <rPr>
            <sz val="10"/>
            <rFont val="Arial"/>
            <family val="2"/>
          </rPr>
          <t>Tổng số KH nhận được bất kỳ dịch vụ nào trong kỳ báo cáo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 authorId="0" shapeId="0" xr:uid="{00000000-0006-0000-03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Nên tính theo giới tính khi sinh hay theo nhóm KP?</t>
        </r>
      </text>
    </comment>
    <comment ref="C7" authorId="0" shapeId="0" xr:uid="{00000000-0006-0000-0300-000001000000}">
      <text>
        <r>
          <rPr>
            <sz val="10"/>
            <rFont val="Arial"/>
            <family val="2"/>
          </rPr>
          <t>Tổng số KH nhận được bất kỳ dịch vụ nào trong kỳ báo cáo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<sst xmlns="http://schemas.openxmlformats.org/spreadsheetml/2006/main" count="20868" uniqueCount="785">
  <si>
    <t>DANH SÁCH CÁC LOẠI BÁO CÁO CỬA DỰ ÁN</t>
  </si>
  <si>
    <t>STT</t>
  </si>
  <si>
    <t>Loại báo cáo</t>
  </si>
  <si>
    <t>Cấp độ</t>
  </si>
  <si>
    <t>Thời điểm xuất báo cáo</t>
  </si>
  <si>
    <t>Báo cáo hoạt động và chỉ số</t>
  </si>
  <si>
    <t>Báo cáo CBO</t>
  </si>
  <si>
    <t>hàng tháng, 3 tháng, 6 tháng, 12 tháng</t>
  </si>
  <si>
    <t>Báo cáo tỉnh</t>
  </si>
  <si>
    <t>3 tháng, 6 tháng, 12 tháng</t>
  </si>
  <si>
    <t>Báo cáo toàn dự án</t>
  </si>
  <si>
    <t>6 tháng, 12 tháng</t>
  </si>
  <si>
    <t>Báo cáo kết quả, chỉ số đột xuất</t>
  </si>
  <si>
    <t>Toàn dự án</t>
  </si>
  <si>
    <t>Theo yêu cầu của chương trình</t>
  </si>
  <si>
    <t xml:space="preserve">BÁO CÁO KẾT QUẢ HOẠT ĐỘNG </t>
  </si>
  <si>
    <t xml:space="preserve">Kỳ báo cáo: </t>
  </si>
  <si>
    <t>Tính theo nhóm KP hay nam/nữ/TG?</t>
  </si>
  <si>
    <t>#</t>
  </si>
  <si>
    <t>Thông tin báo cáo</t>
  </si>
  <si>
    <t>Tổng</t>
  </si>
  <si>
    <t>PUD</t>
  </si>
  <si>
    <t>PLHIV</t>
  </si>
  <si>
    <t>TG</t>
  </si>
  <si>
    <t>SW</t>
  </si>
  <si>
    <t>MSM</t>
  </si>
  <si>
    <t>Tháng</t>
  </si>
  <si>
    <t>Quý</t>
  </si>
  <si>
    <t>6T</t>
  </si>
  <si>
    <t>12T</t>
  </si>
  <si>
    <t>Nguồn số liệu</t>
  </si>
  <si>
    <t>Notes</t>
  </si>
  <si>
    <t>I</t>
  </si>
  <si>
    <t>THÔNG TIN CHUNG</t>
  </si>
  <si>
    <t>Tổng số KH được chăm sóc từ đầu dự án</t>
  </si>
  <si>
    <t>x</t>
  </si>
  <si>
    <t>Dữ liệu từ các biểu mẫu
(KH nhận bất cứ dịch vụ gì)</t>
  </si>
  <si>
    <t>Tổng số KH được chăm sóc trong kỳ báo cáo</t>
  </si>
  <si>
    <t>Số KH mất dấu trong kỳ báo cáo</t>
  </si>
  <si>
    <t>Dữ liệu từ biểu mẫu theo dấu KH</t>
  </si>
  <si>
    <t>Ghi nhận những KH được tính là mất dấu và được nhập liệu trên Redcap</t>
  </si>
  <si>
    <t>II</t>
  </si>
  <si>
    <t>HOẠT ĐỘNG TRUYỀN THÔNG</t>
  </si>
  <si>
    <t>Số KH được tham gia truyền thông lần 1</t>
  </si>
  <si>
    <t>Dữ liệu từ biểu mẫu truyền thông</t>
  </si>
  <si>
    <t>Số KH được tham gia truyền thông lần 2</t>
  </si>
  <si>
    <t>Tổng số lượt KH tham gia truyền thông</t>
  </si>
  <si>
    <t>III</t>
  </si>
  <si>
    <t>SÀNG LỌC BẢNG HỎI QST VÀ CHUYỂN GỬI KHÁM, ĐIỀU TRỊ SKTT</t>
  </si>
  <si>
    <t>Dữ liệu từ bảng hỏi QST</t>
  </si>
  <si>
    <t>Số KH được sàng lọc bảng hỏi QST lần 1</t>
  </si>
  <si>
    <t>Kết quả sàng lọc QST lần đầu</t>
  </si>
  <si>
    <t>Mức 1 (&gt;=8)</t>
  </si>
  <si>
    <t>Mức 2 (6 - 7)</t>
  </si>
  <si>
    <t>Mức 3 (4 - 5)</t>
  </si>
  <si>
    <t>Mức 4 (&lt;4)</t>
  </si>
  <si>
    <t>Số KH được sàng lọc lại bảng hỏi QST (từ lần 2 trở đi)</t>
  </si>
  <si>
    <t>Dữ liệu từ bảng hỏi lại QST</t>
  </si>
  <si>
    <t>Kết quả sàng lọc lại QST</t>
  </si>
  <si>
    <t>Số lượt KH được chuyển gửi khám SKTT</t>
  </si>
  <si>
    <t>Tổng số lượt trong tháng (dễ nhìn check báo cáo và thánh quyết toán)</t>
  </si>
  <si>
    <t>Số KH được chuyển gửi khám SKTT, trong đó:</t>
  </si>
  <si>
    <t>Dữ liệu từ biểu mẫu khám và điều trị SKTT</t>
  </si>
  <si>
    <t>Số KH được chuyển gửi khám SKTT lần 1</t>
  </si>
  <si>
    <t>Số KH được tái khám SKTT</t>
  </si>
  <si>
    <t>Số lượt KH được tái khám SKTT</t>
  </si>
  <si>
    <t>Số KH được điều trị nội trú (nhập viện)</t>
  </si>
  <si>
    <t>Số KH được hỗ trợ mua thẻ Bảo hiểm y tế</t>
  </si>
  <si>
    <t>Chưa có biểu mẫu nhập thông tin này
Bổ sung</t>
  </si>
  <si>
    <t>IV</t>
  </si>
  <si>
    <t>CÁC CAN THIỆP CÁ NHÂN VÀ CAN THIỆP NHÓM</t>
  </si>
  <si>
    <t>Dữ liệu từ biểu mẫu tư vấn</t>
  </si>
  <si>
    <t>Số lượt KH được tư vấn cá nhân</t>
  </si>
  <si>
    <t>Số KH được tư vấn cá nhân, trong đó:</t>
  </si>
  <si>
    <t>Số KH được tư vấn 1 lần</t>
  </si>
  <si>
    <t>Số KH được tư vấn 2 lần</t>
  </si>
  <si>
    <t>Số KH được tư vấn từ 3 lần trở lên</t>
  </si>
  <si>
    <t>Số lượt KH được tham gia sinh hoạt nhóm</t>
  </si>
  <si>
    <t>Dữ liệu từ biểu mẫu sinh hoạt nhóm và can thiệp chữa lành</t>
  </si>
  <si>
    <t>Số KH được tham gia sinh hoạt nhóm</t>
  </si>
  <si>
    <t>Số lượt KH được tham gia can thiệp chữa lành</t>
  </si>
  <si>
    <t>Số KH được tham gia can thiệp chữa lành</t>
  </si>
  <si>
    <t>V</t>
  </si>
  <si>
    <t>CAN THIỆP ONLINE</t>
  </si>
  <si>
    <t>Số lượt KH được can thiệp online</t>
  </si>
  <si>
    <t>Chưa thống nhất việc thu thập thông tin và cach can thiệp (ứng dụng intellect)</t>
  </si>
  <si>
    <t>Chưa có biểu mẫu REDCap tương ứng trong DREAMH (thiếu F1-Tư vấn cá nhân/F4-Can thiệp online/F7-F8). Cần bổ sung instrument để tính tự động.</t>
  </si>
  <si>
    <t>Số KH được can thiệp online</t>
  </si>
  <si>
    <t>VI</t>
  </si>
  <si>
    <t>DỊCH VỤ CHUYỂN GỬI KHÁC</t>
  </si>
  <si>
    <t>Số KH được chuyển gửi dịch vụ/xét nghiệm thành công</t>
  </si>
  <si>
    <t>-  PREP</t>
  </si>
  <si>
    <t>Hiện đang chưa có cơ chế hỗ trợ fixed và thu thập dữ liệu cho những chuyển gửi này. Có thu thập những dữ liệu này không?
Nếu có, bổ sung biểu mẫu nhập liệu, nếu không thì bỏ dòng này</t>
  </si>
  <si>
    <t>-  PEP</t>
  </si>
  <si>
    <t>- Khám/điều trị STIs</t>
  </si>
  <si>
    <t>- XN/Điều trị Viêm gan B,C</t>
  </si>
  <si>
    <t>- Methadone</t>
  </si>
  <si>
    <t>- Dịch vụ y tế khác</t>
  </si>
  <si>
    <t>VII</t>
  </si>
  <si>
    <t>PHÁT TÀI LIỆU TRUYỀN THÔNG</t>
  </si>
  <si>
    <t>Số quyển tài liệu đã phát</t>
  </si>
  <si>
    <t>Có dữ liệu trong các hoạt động nhóm (truyền thông, sinh hoạt, can thiệp chữa lành).
Có bổ sung thêm trường này trong phiếu tư vấn không vì vẫn có thể phát tài liệu trong các buổi tư vấn?</t>
  </si>
  <si>
    <t xml:space="preserve">Số KH nhận tài liệu </t>
  </si>
  <si>
    <t>Record ID</t>
  </si>
  <si>
    <t>Repeat Instrument</t>
  </si>
  <si>
    <t>Repeat Instance</t>
  </si>
  <si>
    <t>Data Access Group</t>
  </si>
  <si>
    <t>Ngày tham gia</t>
  </si>
  <si>
    <t>Khách hàng có tham gia nghiên cứu đầu vào của dự án không?</t>
  </si>
  <si>
    <t>Mã khách hàng nghiên cứu</t>
  </si>
  <si>
    <t xml:space="preserve">A1 - Giới tính hiện tại bạn tự xác định là gì? </t>
  </si>
  <si>
    <t>A1 - Giới tính khi sinh của bạn là gì?</t>
  </si>
  <si>
    <t>A3 - Bạn sinh năm bao nhiêu?</t>
  </si>
  <si>
    <t xml:space="preserve">A4 - Bạn cảm thấy mình thuộc nhóm nào sau đây? </t>
  </si>
  <si>
    <t>A5 - Bạn có thuộc nhóm nào khác không?  (choice=Không)</t>
  </si>
  <si>
    <t>A5 - Bạn có thuộc nhóm nào khác không?  (choice=Người sử dụng ma túy (PUD))</t>
  </si>
  <si>
    <t>A5 - Bạn có thuộc nhóm nào khác không?  (choice=Người sống chung với HIV (PLHIV))</t>
  </si>
  <si>
    <t>A5 - Bạn có thuộc nhóm nào khác không?  (choice=Người chuyển giới (TG))</t>
  </si>
  <si>
    <t>A5 - Bạn có thuộc nhóm nào khác không?  (choice=Nam quan hệ tình dục đồng giới (MSM))</t>
  </si>
  <si>
    <t>A5 - Bạn có thuộc nhóm nào khác không?  (choice=Người bán dâm (SW))</t>
  </si>
  <si>
    <t xml:space="preserve">A6 - Bạn có CCCD/CMND không? </t>
  </si>
  <si>
    <t xml:space="preserve">A7 - Bạn có đăng ký cư trú tại thành phố này không?  </t>
  </si>
  <si>
    <t xml:space="preserve">A8 - Bạn có thẻ bảo hiểm y tế không?  </t>
  </si>
  <si>
    <t xml:space="preserve">A9 - Trong 6 tháng qua, bạn có từng rơi vào tình trạng vô gia cư không? </t>
  </si>
  <si>
    <t xml:space="preserve">A9.1 - Hiện bạn có đang vô gia cư không? </t>
  </si>
  <si>
    <t xml:space="preserve">A10 - Trong 6 tháng qua, bạn có từng bị tạm giữ qua đêm không? </t>
  </si>
  <si>
    <t xml:space="preserve">A11 - Tình trạng hôn nhân hiện tại của bạn như thế nào?  </t>
  </si>
  <si>
    <t xml:space="preserve">A12 - Bạn có bao nhiêu người con? (bao gồm cả con nuôi) </t>
  </si>
  <si>
    <t>Complete?</t>
  </si>
  <si>
    <t>DỊCH VỤ CUNG CẤP</t>
  </si>
  <si>
    <t>Ngày thực hiện</t>
  </si>
  <si>
    <t>Người điều hành:</t>
  </si>
  <si>
    <t>Người điều hành:_1</t>
  </si>
  <si>
    <t>Người điều hành:_2</t>
  </si>
  <si>
    <t>Địa điểm</t>
  </si>
  <si>
    <t>Ngoài cộng đồng (ghi rõ)</t>
  </si>
  <si>
    <t>Khác (ghi rõ)</t>
  </si>
  <si>
    <t>Chủ đề (điền đúng chủ đề theo nội dung tài liệu)</t>
  </si>
  <si>
    <t xml:space="preserve">Phát tài liệu truyền thông? (đơn vị: quyển- không phát điền số 0)  </t>
  </si>
  <si>
    <t>Khách hàng có đồng ý  tham gia sàng lọc bảng hỏi QST tại buổi sau không?</t>
  </si>
  <si>
    <t xml:space="preserve">Phát bao cao su? (đơn vị: chiếc/cái- không phát điền số 0)  </t>
  </si>
  <si>
    <t xml:space="preserve">Phát chất bôi trơn? (đơn vị: chiếc/cái- không phát điền số 0)  </t>
  </si>
  <si>
    <t xml:space="preserve">Phát bơm kim tiêm? (đơn vị: chiếc/cái- không phát điền số 0)  </t>
  </si>
  <si>
    <t>Ghi chú</t>
  </si>
  <si>
    <t>Complete?_3</t>
  </si>
  <si>
    <t>Ngày thực hiện_4</t>
  </si>
  <si>
    <t>Người thực hiện</t>
  </si>
  <si>
    <t>Người thực hiện_5</t>
  </si>
  <si>
    <t>Người thực hiện_6</t>
  </si>
  <si>
    <t>Lo lắng tới mức không kiểm soát được</t>
  </si>
  <si>
    <t>Cảm thấy buồn chán, mất hết hy vọng</t>
  </si>
  <si>
    <t>Gặp những cơn ác mộng lặp lại làm bạn thấy khó chịu không ?</t>
  </si>
  <si>
    <t>Suy nghĩ quá nhiều</t>
  </si>
  <si>
    <t>Cảm giác bị cô lập xã hội hoặc cô đơn</t>
  </si>
  <si>
    <t>Vấn đề về tim (yếu tim, tim nặng trĩu, tim đập nhanh, hồi hộp)</t>
  </si>
  <si>
    <t xml:space="preserve">2. Trong 2 tuần qua, bạn có ý nghĩ tự làm hại bản thân không? </t>
  </si>
  <si>
    <t>3. Bạn đã bao giờ Nghe thấy những thứ mà người khác không nghe thấy, như giọng nói chẳng hạn?</t>
  </si>
  <si>
    <t>Điểm QST</t>
  </si>
  <si>
    <t>Complete?_7</t>
  </si>
  <si>
    <t>1. Tên tiếp cận viên phụ trách</t>
  </si>
  <si>
    <t>1.1 Thời gian hỗ trợ</t>
  </si>
  <si>
    <t>2. Dịch vụ hỗ trợ (choice=Thẻ bảo hiểm y tế)</t>
  </si>
  <si>
    <t>2. Dịch vụ hỗ trợ (choice=Hỗ trợ chi phí điều trị Methadone)</t>
  </si>
  <si>
    <t>2. Dịch vụ hỗ trợ (choice=Hỗ trợ giấy tờ tùy thân)</t>
  </si>
  <si>
    <t>2. Dịch vụ hỗ trợ (choice=Hỗ trợ đăng ký cư trú)</t>
  </si>
  <si>
    <t>2. Dịch vụ hỗ trợ (choice=Hỗ trợ tiếp cận trợ cấp xã hội)</t>
  </si>
  <si>
    <t>2. Dịch vụ hỗ trợ (choice=Hỗ trợ việc làm)</t>
  </si>
  <si>
    <t>2. Dịch vụ hỗ trợ (choice=Hỗ trợ giáo dục)</t>
  </si>
  <si>
    <t>2. Dịch vụ hỗ trợ (choice=Hỗ trợ pháp lý)</t>
  </si>
  <si>
    <t>2. Dịch vụ hỗ trợ (choice=Khác)</t>
  </si>
  <si>
    <t>2.1 Dịch vụ khác</t>
  </si>
  <si>
    <t>Complete?_8</t>
  </si>
  <si>
    <t>Ngày hỗ trợ</t>
  </si>
  <si>
    <t>Người chuyển gửi</t>
  </si>
  <si>
    <t>Hình thức điều trị được chỉ định?</t>
  </si>
  <si>
    <t>Khác (ghi rõ)_9</t>
  </si>
  <si>
    <t>Có kê đơn thuốc</t>
  </si>
  <si>
    <t>3.1 Khách hàng có đang tuân thủ điều trị không:</t>
  </si>
  <si>
    <t>3.2.a.1 Uống thuốc đều</t>
  </si>
  <si>
    <t>3.2.a.2 Quên thuốc</t>
  </si>
  <si>
    <t>3.2.b KH đi khám đúng hẹn?</t>
  </si>
  <si>
    <t>3.2.c KH tham gia tư vấn/hỗ trợ tại nhóm?</t>
  </si>
  <si>
    <t>4. Khó khăn trong tuân thủ?  Khách hàng đang gặp khó khăn gì (có thể chọn nhiều):  (choice=Tác dụng phụ của thuốc)</t>
  </si>
  <si>
    <t>4. Khó khăn trong tuân thủ?  Khách hàng đang gặp khó khăn gì (có thể chọn nhiều):  (choice=Thiếu động lực / không muốn điều trị)</t>
  </si>
  <si>
    <t>4. Khó khăn trong tuân thủ?  Khách hàng đang gặp khó khăn gì (có thể chọn nhiều):  (choice=Khó khăn tài chính)</t>
  </si>
  <si>
    <t>4. Khó khăn trong tuân thủ?  Khách hàng đang gặp khó khăn gì (có thể chọn nhiều):  (choice=Khó khăn đi lại)</t>
  </si>
  <si>
    <t>4. Khó khăn trong tuân thủ?  Khách hàng đang gặp khó khăn gì (có thể chọn nhiều):  (choice=Kỳ thị / sợ bị phát hiệ)</t>
  </si>
  <si>
    <t>4. Khó khăn trong tuân thủ?  Khách hàng đang gặp khó khăn gì (có thể chọn nhiều):  (choice=Quên lịch / quên uống thuốc)</t>
  </si>
  <si>
    <t>4. Khó khăn trong tuân thủ?  Khách hàng đang gặp khó khăn gì (có thể chọn nhiều):  (choice=Sử dụng chất ảnh hưởng điều trị)</t>
  </si>
  <si>
    <t>4. Khó khăn trong tuân thủ?  Khách hàng đang gặp khó khăn gì (có thể chọn nhiều):  (choice=Khác)</t>
  </si>
  <si>
    <t>Khác</t>
  </si>
  <si>
    <t>5. Đánh giá tình trạng sức khỏe tâm thần hiện tại, KH cảm thấy</t>
  </si>
  <si>
    <t>5.1 Biểu hiện hiện tại (nếu có)</t>
  </si>
  <si>
    <t>5.2 Có dấu hiệu nguy cơ (tự hại, loạn thần ...)</t>
  </si>
  <si>
    <t>6.1 Tiếp tục theo dõi?</t>
  </si>
  <si>
    <t>6.2 Tần suất</t>
  </si>
  <si>
    <t>6.2.1 Khác</t>
  </si>
  <si>
    <t>6.3 Hỗ trợ dự kiến (choice=Tư vấn thêm)</t>
  </si>
  <si>
    <t>6.3 Hỗ trợ dự kiến (choice=Nhắc lịch)</t>
  </si>
  <si>
    <t>6.3 Hỗ trợ dự kiến (choice=Chuyển gửi lại)</t>
  </si>
  <si>
    <t>6.3 Hỗ trợ dự kiến (choice=Hỗ trợ xã hội)</t>
  </si>
  <si>
    <t>6.3 Hỗ trợ dự kiến (choice=Khác)</t>
  </si>
  <si>
    <t>6.3.1 Khác</t>
  </si>
  <si>
    <t>Complete?_10</t>
  </si>
  <si>
    <t>1.1 Ngày khám</t>
  </si>
  <si>
    <t>1.2 Cơ sở y tế</t>
  </si>
  <si>
    <t>1.3 Bác sỹ phụ trách</t>
  </si>
  <si>
    <t>2. Lần khám</t>
  </si>
  <si>
    <t>2.1 Tái khám lần thứ</t>
  </si>
  <si>
    <t>3.1 Triệu chứng chính</t>
  </si>
  <si>
    <t>3.1.1 Khác</t>
  </si>
  <si>
    <t xml:space="preserve">3.2.1 Chẩn đoán chính  </t>
  </si>
  <si>
    <t xml:space="preserve">3.2.2 Chẩn đoán kèm theo (nếu có)  </t>
  </si>
  <si>
    <t>3.3.1 Nguy cơ tự sát</t>
  </si>
  <si>
    <t>3.3.2 Nguy cơ gây hại cho người khác</t>
  </si>
  <si>
    <t>3.3.3 Cần theo dõi đặc biệt?</t>
  </si>
  <si>
    <t>3.3.3.1 Mô tả ngắn</t>
  </si>
  <si>
    <t>4.1 Hình thức điều trị (được lựa chọn nhiều hình thức, nhưng không thể vừa chọn nội trú và ngoại trú)   (choice=Ngoại trú)</t>
  </si>
  <si>
    <t>4.1 Hình thức điều trị (được lựa chọn nhiều hình thức, nhưng không thể vừa chọn nội trú và ngoại trú)   (choice=Nội trú)</t>
  </si>
  <si>
    <t>4.1 Hình thức điều trị (được lựa chọn nhiều hình thức, nhưng không thể vừa chọn nội trú và ngoại trú)   (choice=Tư vấn tâm lý)</t>
  </si>
  <si>
    <t>4.1 Hình thức điều trị (được lựa chọn nhiều hình thức, nhưng không thể vừa chọn nội trú và ngoại trú)   (choice=Khác)</t>
  </si>
  <si>
    <t>4.2 Điều trị thuốc</t>
  </si>
  <si>
    <t>4.2.1 Tên thuốc chính</t>
  </si>
  <si>
    <t>4.2.1 Tên thuốc chính   (có thể chọn nhiều phương án) (choice=Sertraline)</t>
  </si>
  <si>
    <t>4.2.1 Tên thuốc chính   (có thể chọn nhiều phương án) (choice=Mirtazapine)</t>
  </si>
  <si>
    <t>4.2.1 Tên thuốc chính   (có thể chọn nhiều phương án) (choice=Paroxetine)</t>
  </si>
  <si>
    <t>4.2.1 Tên thuốc chính   (có thể chọn nhiều phương án) (choice=Citalopram)</t>
  </si>
  <si>
    <t>4.2.1 Tên thuốc chính   (có thể chọn nhiều phương án) (choice=Escitalopram)</t>
  </si>
  <si>
    <t>4.2.1 Tên thuốc chính   (có thể chọn nhiều phương án) (choice=Fluvoxamine)</t>
  </si>
  <si>
    <t>4.2.1 Tên thuốc chính   (có thể chọn nhiều phương án) (choice=Fluoxetine)</t>
  </si>
  <si>
    <t>4.2.1 Tên thuốc chính   (có thể chọn nhiều phương án) (choice=Olanzapine)</t>
  </si>
  <si>
    <t>4.2.1 Tên thuốc chính   (có thể chọn nhiều phương án) (choice=Risperidone)</t>
  </si>
  <si>
    <t>4.2.1 Tên thuốc chính   (có thể chọn nhiều phương án) (choice=Quetiapine)</t>
  </si>
  <si>
    <t>4.2.1 Tên thuốc chính   (có thể chọn nhiều phương án) (choice=Aripiprazole)</t>
  </si>
  <si>
    <t>4.2.1 Tên thuốc chính   (có thể chọn nhiều phương án) (choice=Sulpirid)</t>
  </si>
  <si>
    <t>4.2.1 Tên thuốc chính   (có thể chọn nhiều phương án) (choice=Amisulpride)</t>
  </si>
  <si>
    <t>4.2.1 Tên thuốc chính   (có thể chọn nhiều phương án) (choice=Tofisopam)</t>
  </si>
  <si>
    <t>4.2.1 Tên thuốc chính   (có thể chọn nhiều phương án) (choice=Zopiclone)</t>
  </si>
  <si>
    <t>4.2.1 Tên thuốc chính   (có thể chọn nhiều phương án) (choice=Eszopiclone)</t>
  </si>
  <si>
    <t>4.2.1 Tên thuốc chính   (có thể chọn nhiều phương án) (choice=Haloperidol)</t>
  </si>
  <si>
    <t>4.2.1 Tên thuốc chính   (có thể chọn nhiều phương án) (choice=Diazepam)</t>
  </si>
  <si>
    <t>4.2.2 Hướng dẫn sử dụng</t>
  </si>
  <si>
    <t>5. Khuyến nghị cho CBO/dự án (choice=Nhắc lịch tái khám)</t>
  </si>
  <si>
    <t>5. Khuyến nghị cho CBO/dự án (choice=Hỗ trợ tuân thủ thuốc)</t>
  </si>
  <si>
    <t>5. Khuyến nghị cho CBO/dự án (choice=Theo dõi dấu hiệu nguy cơ)</t>
  </si>
  <si>
    <t>5. Khuyến nghị cho CBO/dự án (choice=Hỗ trợ tại cộng đồng (tư vấn tại nhóm, sinh hoạt nhóm ...))</t>
  </si>
  <si>
    <t>5. Khuyến nghị cho CBO/dự án (choice=Kết nối dịch vụ xã hội (nhà tạm lánh, BHYT, giới thiệu việc làm ...))</t>
  </si>
  <si>
    <t>5. Khuyến nghị cho CBO/dự án (choice=Khác)</t>
  </si>
  <si>
    <t>5.1 Khác</t>
  </si>
  <si>
    <t>6. Ngày hẹn tái khám</t>
  </si>
  <si>
    <t>7. Ghi chú của bác sỹ cho CBO/dự án</t>
  </si>
  <si>
    <t>Complete?_11</t>
  </si>
  <si>
    <t xml:space="preserve">Ngày tư vấn </t>
  </si>
  <si>
    <t>Địa điểm_12</t>
  </si>
  <si>
    <t>A1.1 – Trong 6 tháng qua, anh/chị uống đồ uống có cồn với tần suất như thế nào? (Một “đơn vị cồn” gồm: 1 lon/chai bia, 1 ly rượu vang, 1 ly cocktail hoặc 1 ly nhỏ rượu mạnh như scotch, whisky, rượu gạo, rượu trắng …)</t>
  </si>
  <si>
    <t>&amp;nbsp;A1.2 – Vào một ngày bình thường, bạn uống bao nhiêu đơn vị cồn?&amp;nbsp;&amp;nbsp;&amp;nbsp;</t>
  </si>
  <si>
    <t>A1.3 – Tần suất bạn uống ≥5 đơn vị cồn trong một lần là bao nhiêu?&amp;nbsp;&amp;nbsp; &amp;nbsp;&amp;nbsp;&amp;nbsp;&amp;nbsp;</t>
  </si>
  <si>
    <t>A2 – Trong 6 tháng qua, bạn có sử dụng ma túy không?</t>
  </si>
  <si>
    <t>A3.1 Loại 1</t>
  </si>
  <si>
    <t>A3.1.1 Khác</t>
  </si>
  <si>
    <t>A3.1 Loại 2</t>
  </si>
  <si>
    <t>A3.2.1 Khác</t>
  </si>
  <si>
    <t>A4 – Trong 6 tháng qua, bạn có tiêm chích ma túy không?</t>
  </si>
  <si>
    <t>A4.1 – Bạn có từng sử dụng kim tiêm/ống tiêm đã qua sử dụng bởi người khác không?</t>
  </si>
  <si>
    <t>A5 – Trong 6 tháng qua, bạn quan hệ tình dục với bao nhiêu người? (qua đường âm đạo, đường miệng và/hoặc đường hậu môn)</t>
  </si>
  <si>
    <t>A6 – Trong 6 tháng qua, bạn có quan hệ tình dục không an toàn với bạn tình có nguy cơ không? (bạn tình không thường xuyên/thường xuyên nhưng không rõ tình trạng HIV)</t>
  </si>
  <si>
    <t>A7 - Bạn đã từng xét nghiệm HIV bao nhiêu lần?&amp;nbsp;&amp;nbsp;</t>
  </si>
  <si>
    <t>A7 - Bạn đã từng xét nghiệm HCV bao nhiêu lần?&amp;nbsp;&amp;nbsp;</t>
  </si>
  <si>
    <t>A9 – Bạn đã từng đi sàng lọc lao bao nhiêu lần?&amp;nbsp;</t>
  </si>
  <si>
    <t>B1 – Bạn đã từng tiếp xúc với bác sĩ tâm thần hoặc chuyên gia sức khỏe tâm thần chưa?</t>
  </si>
  <si>
    <t>B2 – Bạn có nghĩ rằng hiện tại mình có thể đang gặp vấn đề về sức khỏe tâm thần không?</t>
  </si>
  <si>
    <t>B3 – Bạn có đồng ý đi đến cơ sở dịch vụ sức khỏe tâm thần nếu được nhận viên y tế hoặc nhân viên cộng đồng giới thiệu không?</t>
  </si>
  <si>
    <t>“Đôi khi trong cuộc sống xảy ra những sự kiện đặc biệt đáng sợ, kinh hoàng hoặc gây sang chấn. Ví dụ: một tai nạn nghiêm trọng hoặc hỏa hoạn, viêc bị tấn công hoặc lạm dụng thể chất hay tình dục, thiên tai động đất hoặc lũ lụt, chiến tranh, viêc chứng kiế</t>
  </si>
  <si>
    <t>C2 – Gặp ác mộng về sự kiện đó hoặc nghĩ đến sự kiện đó khi bạn không mong muốn?</t>
  </si>
  <si>
    <t>C3 – Cố gắng hết sức để tránh nghĩ về sự kiện đó hoặc tránh những tình huống gợi nhớ đến sự kiện?&amp;nbsp;&amp;nbsp;&amp;nbsp;&amp;nbsp;&amp;nbsp;&amp;nbsp;&amp;nbsp;&amp;nbsp;&amp;nbsp;&amp;nbsp;&amp;nbsp;&amp;nbsp;&amp;nbsp;</t>
  </si>
  <si>
    <t>C4 – Luôn trong trạng thái cảnh giác cao độ, đề phòng hoặc dễ giật mình?</t>
  </si>
  <si>
    <t>C5 – Cảm thấy tê liệt cảm xúc hoặc xa cách với người khác, các hoạt động hoặc môi trường xung quanh?</t>
  </si>
  <si>
    <t>C6 – Cảm thấy tội lỗi hoặc không thể ngừng tự trách bản thân hoặc người khác về sự kiện đó hoặc những hậu quả mà sự kiện có thể gây ra?</t>
  </si>
  <si>
    <t>Điểm</t>
  </si>
  <si>
    <t>1.	Nếu có cơ hội để không bị coi là [f1_q_a4], tôi sẽ lựa chọn điều đó</t>
  </si>
  <si>
    <t>2.	Tôi cảm thấy tự hào về bản thân dù mình là [f1_q_a4]</t>
  </si>
  <si>
    <t>3.	Tôi nghĩ những người không phải là [f1_q_a4] giỏi hơn tôi ở nhiều mặt</t>
  </si>
  <si>
    <t>4.	Tôi cảm thấy [f1_q_a4] không có nhiều điều đáng để tự hào</t>
  </si>
  <si>
    <t>5.	Tôi nghĩ [f1_q_a4] phải chịu trách nhiệm cho cách xã hội nhìn nhận tiêu cực về họ</t>
  </si>
  <si>
    <t>3a. Tình trạng sức khỏe tâm thần hiện tại (choice=Lo âu)</t>
  </si>
  <si>
    <t>3a. Tình trạng sức khỏe tâm thần hiện tại (choice=Căng thẳng)</t>
  </si>
  <si>
    <t>3a. Tình trạng sức khỏe tâm thần hiện tại (choice=Trầm cảm)</t>
  </si>
  <si>
    <t>3a. Tình trạng sức khỏe tâm thần hiện tại (choice=Mất ngủ)</t>
  </si>
  <si>
    <t>3a. Tình trạng sức khỏe tâm thần hiện tại (choice=Khác)</t>
  </si>
  <si>
    <t>3a.1 Khác</t>
  </si>
  <si>
    <t>3b. Các yếu tố liên quan (choice=Sử dụng chất)</t>
  </si>
  <si>
    <t>3b. Các yếu tố liên quan (choice=HIV / bệnh mãn tính)</t>
  </si>
  <si>
    <t>3b. Các yếu tố liên quan (choice=Hormone)</t>
  </si>
  <si>
    <t>3b. Các yếu tố liên quan (choice=Bạo lực / sang chấn)</t>
  </si>
  <si>
    <t>3b. Các yếu tố liên quan (choice=Kỳ thị)</t>
  </si>
  <si>
    <t>3b. Các yếu tố liên quan (choice=Khác)</t>
  </si>
  <si>
    <t>3b.1 Khác</t>
  </si>
  <si>
    <t>3c. Nhu cầu hỗ trợ chính (KH tự xác định)</t>
  </si>
  <si>
    <t>4.1. Các can thiệp đã được giới thiệu (choice=Tư vấn cá nhân (1-1))</t>
  </si>
  <si>
    <t>4.1. Các can thiệp đã được giới thiệu (choice=Sinh hoạt nhóm)</t>
  </si>
  <si>
    <t>4.1. Các can thiệp đã được giới thiệu (choice=Can thiệp chữa lành (sang chấn))</t>
  </si>
  <si>
    <t>4.1. Các can thiệp đã được giới thiệu (choice=Ứng dụng Intellect (trực tuyến))</t>
  </si>
  <si>
    <t>4.1. Các can thiệp đã được giới thiệu (choice=Chuyển gửi đến cơ sở chăm sóc SKTT)</t>
  </si>
  <si>
    <t>4.2. Nhu cầu tham gia của khách hàng (có thể chọn nhiều đáp án) (choice=Tư vấn cá nhân)</t>
  </si>
  <si>
    <t>4.2. Nhu cầu tham gia của khách hàng (có thể chọn nhiều đáp án) (choice=Sinh hoạt nhóm)</t>
  </si>
  <si>
    <t>4.2. Nhu cầu tham gia của khách hàng (có thể chọn nhiều đáp án) (choice=Can thiệp chữa lành)</t>
  </si>
  <si>
    <t>4.2. Nhu cầu tham gia của khách hàng (có thể chọn nhiều đáp án) (choice=Dùng ứng dụng Intellect)</t>
  </si>
  <si>
    <t>4.2. Nhu cầu tham gia của khách hàng (có thể chọn nhiều đáp án) (choice=Chuyển gửi đến cơ sở chăm sóc SKTT)</t>
  </si>
  <si>
    <t>4.2. Nhu cầu tham gia của khách hàng (có thể chọn nhiều đáp án) (choice=Khác)</t>
  </si>
  <si>
    <t>4.2.1 Khác</t>
  </si>
  <si>
    <t>6.1 Ngày hẹn tiếp theo</t>
  </si>
  <si>
    <t>Complete?_13</t>
  </si>
  <si>
    <t>Ngày tư vấn</t>
  </si>
  <si>
    <t>Địa điểm_14</t>
  </si>
  <si>
    <t>2.1.a Dạo gần đây KH cảm thấy:</t>
  </si>
  <si>
    <t>2.1.a.1 Khác</t>
  </si>
  <si>
    <t>2.1.b KH chia sẻ ngắn (nếu có)</t>
  </si>
  <si>
    <t xml:space="preserve">2.2. Vấn đề KH muốn tập trung </t>
  </si>
  <si>
    <t>3.1.a Nhận diện cảm xúc (choice=Thang đo mức độ)</t>
  </si>
  <si>
    <t>3.1.a Nhận diện cảm xúc (choice=Bánh xe cảm xúc)</t>
  </si>
  <si>
    <t>3.1.a Nhận diện cảm xúc (choice=Không cung cấp can thiệp nào)</t>
  </si>
  <si>
    <t>3.1.b Quản lý căng thẳng (ngắn hạn)     (choice=Tự làm dịu)</t>
  </si>
  <si>
    <t>3.1.b Quản lý căng thẳng (ngắn hạn)     (choice=Tiếp đất)</t>
  </si>
  <si>
    <t>3.1.b Quản lý căng thẳng (ngắn hạn)     (choice=Không cung cấp can thiệp nào)</t>
  </si>
  <si>
    <t>3.1.c. Quản lý căng thẳng (dài hạn) (choice=Thiền / chánh niệm)</t>
  </si>
  <si>
    <t>3.1.c. Quản lý căng thẳng (dài hạn) (choice=10 nhu cầu dài hạn)</t>
  </si>
  <si>
    <t>3.1.c. Quản lý căng thẳng (dài hạn) (choice=Tái định hình nhận thức)</t>
  </si>
  <si>
    <t>3.1.c. Quản lý căng thẳng (dài hạn) (choice=Không cung cấp can thiệp nào)</t>
  </si>
  <si>
    <t>3.1.d. Thói quen sinh hoạt (choice=Ăn - Uống - Ngủ - Lặp lại)</t>
  </si>
  <si>
    <t>3.1.d. Thói quen sinh hoạt (choice=Tập thể dục)</t>
  </si>
  <si>
    <t>3.1.d. Thói quen sinh hoạt (choice=Không cung cấp can thiệp nào)</t>
  </si>
  <si>
    <t>3.1.e. Nội dung khác (choice=Sử dụng chất &amp; SKTT)</t>
  </si>
  <si>
    <t>3.1.e. Nội dung khác (choice=HIV / Lao / HCV)</t>
  </si>
  <si>
    <t>3.1.e. Nội dung khác (choice=Methadone)</t>
  </si>
  <si>
    <t>3.1.e. Nội dung khác (choice=STIs[HV1.1][NMT1.2])</t>
  </si>
  <si>
    <t>3.1.e. Nội dung khác (choice=Sức khỏe sinh sản &amp; tình dục)</t>
  </si>
  <si>
    <t>3.1.e. Nội dung khác (choice=Khác)</t>
  </si>
  <si>
    <t>3.1.e. Nội dung khác (choice=Không cung cấp can thiệp nào)</t>
  </si>
  <si>
    <t>3.1.e.1 Khác</t>
  </si>
  <si>
    <t>3.2. Nội dung can thiệp chính (ghi ngắn)</t>
  </si>
  <si>
    <t>4.1. Can thiệp KH đồng ý áp dụng</t>
  </si>
  <si>
    <t>4.2.1 Việc sẽ làm</t>
  </si>
  <si>
    <t>4.2.2 Tần suất</t>
  </si>
  <si>
    <t>4.2.3 Thời gian bắt đầu</t>
  </si>
  <si>
    <t>4.3 Khó khăn dự kiến</t>
  </si>
  <si>
    <t>5. HỖ TRỢ BỔ SUNG (NẾU CẦN) (choice=Chuyển gửi cơ sở y tế)</t>
  </si>
  <si>
    <t>5. HỖ TRỢ BỔ SUNG (NẾU CẦN) (choice=Hỗ trợ xã hội)</t>
  </si>
  <si>
    <t>5. HỖ TRỢ BỔ SUNG (NẾU CẦN) (choice=Kết nối dịch vụ khác)</t>
  </si>
  <si>
    <t>5. HỖ TRỢ BỔ SUNG (NẾU CẦN) (choice=Khác)</t>
  </si>
  <si>
    <t>5.1 Khác_15</t>
  </si>
  <si>
    <t>6.1 Ngày hẹn</t>
  </si>
  <si>
    <t>6.2 Hình thức</t>
  </si>
  <si>
    <t>Complete?_16</t>
  </si>
  <si>
    <t>Ngày theo dấu</t>
  </si>
  <si>
    <t>Hình thức liên hệ (choice=Gặp trực tiếp)</t>
  </si>
  <si>
    <t>Hình thức liên hệ (choice=Gọi điện)</t>
  </si>
  <si>
    <t>Hình thức liên hệ (choice=Nhắn tin)</t>
  </si>
  <si>
    <t>Hình thức liên hệ (choice=Online trên app)</t>
  </si>
  <si>
    <t>Hình thức liên hệ (choice=Khác)</t>
  </si>
  <si>
    <t>Khác_17</t>
  </si>
  <si>
    <t>2. Tình trạng liên lạc</t>
  </si>
  <si>
    <t>2.1 Số lần đã liên hệ</t>
  </si>
  <si>
    <t>2.2 Thời gian bắt đầu mất liên lạc</t>
  </si>
  <si>
    <t>3. KHÁCH HÀNG MẤT DẤU  Khách hàng được xác định là mất dấu khi:  - Không thể liên lạc được sau 03 tháng liên tiếp kể từ lần liên hệ cuối cùng   - Đã thực hiện tối thiểu 03 lần liên hệ lại (gọi điện/nhắn tin/gặp trực tiếp) nhưng không thành công      (choi</t>
  </si>
  <si>
    <t>Complete?_18</t>
  </si>
  <si>
    <t>DHN020001</t>
  </si>
  <si>
    <t>Về nhà</t>
  </si>
  <si>
    <t>Không</t>
  </si>
  <si>
    <t>Nam</t>
  </si>
  <si>
    <t>Người sử dụng ma túy (PUD)</t>
  </si>
  <si>
    <t>Chọn</t>
  </si>
  <si>
    <t>Không chọn</t>
  </si>
  <si>
    <t>Có</t>
  </si>
  <si>
    <t>Độc thân</t>
  </si>
  <si>
    <t>Complete</t>
  </si>
  <si>
    <t>Incomplete</t>
  </si>
  <si>
    <t>F2. Truyền thông, sinh hoạt nhóm, vòng tròn chia sẻ, trị liệu nghệ thuật</t>
  </si>
  <si>
    <t>Truyền thông</t>
  </si>
  <si>
    <t>Phạm Thị Minh</t>
  </si>
  <si>
    <t>Văn phòng nhóm</t>
  </si>
  <si>
    <t>Sức khỏe tâm thần</t>
  </si>
  <si>
    <t>F3. Bảng hỏi sàng lọc sức khoẻ tâm thần (QST)</t>
  </si>
  <si>
    <t>Nguyễn Minh Tâm</t>
  </si>
  <si>
    <t>Từ 1 - 7 ngày (1)</t>
  </si>
  <si>
    <t>Không chút nào (0)</t>
  </si>
  <si>
    <t>Từ 8 ngày trở lên (2)</t>
  </si>
  <si>
    <t>DHN020002</t>
  </si>
  <si>
    <t>DHN020003</t>
  </si>
  <si>
    <t>DHN020004</t>
  </si>
  <si>
    <t>DHN020005</t>
  </si>
  <si>
    <t>0</t>
  </si>
  <si>
    <t>Người sống chung với HIV (PLHIV)</t>
  </si>
  <si>
    <t>Sống chung như vợ chồng</t>
  </si>
  <si>
    <t>Suc khoe tam than</t>
  </si>
  <si>
    <t>Đỗ Thị Luận</t>
  </si>
  <si>
    <t>DHN020006</t>
  </si>
  <si>
    <t>Một</t>
  </si>
  <si>
    <t>Chu Thị Thanh</t>
  </si>
  <si>
    <t>DHN020007</t>
  </si>
  <si>
    <t>Đã kết hôn (có giấy đăng ký kết hôn)</t>
  </si>
  <si>
    <t>Sức khoẻ tâm thần</t>
  </si>
  <si>
    <t>Khách hàng bận hẹn  quay lại sau</t>
  </si>
  <si>
    <t>DHN020008</t>
  </si>
  <si>
    <t>Nữ</t>
  </si>
  <si>
    <t>Gần như hằng ngày (3)</t>
  </si>
  <si>
    <t>F5. Phiếu hỗ trợ tuân thủ điều trị</t>
  </si>
  <si>
    <t>Điều trị ngoại trú</t>
  </si>
  <si>
    <t>Tuân thủ tốt</t>
  </si>
  <si>
    <t>Tốt hơn</t>
  </si>
  <si>
    <t>Hàng tuần</t>
  </si>
  <si>
    <t>F6. Thông tin chẩn đoán và điều trị</t>
  </si>
  <si>
    <t>Hà Nội- Bệnh viện lão khoa</t>
  </si>
  <si>
    <t>Hà Nội- Nguyễn Thị Hòa</t>
  </si>
  <si>
    <t>Khám lần đầu</t>
  </si>
  <si>
    <t>Trầm cảm</t>
  </si>
  <si>
    <t xml:space="preserve">TD Giai đoạn trầm cảm </t>
  </si>
  <si>
    <t>Ảo thanh</t>
  </si>
  <si>
    <t>olanzapin 5mg</t>
  </si>
  <si>
    <t>Uống mỗi ngày 1 viên, tối  Sertralin 50mg x 1 viên, sáng</t>
  </si>
  <si>
    <t xml:space="preserve">2 tuần: ngủ kém, ảo thanh (tiếng người gọi), buồn chán, cáu gắt, tiêu cực, buông bỏ. </t>
  </si>
  <si>
    <t>DHN020009</t>
  </si>
  <si>
    <t>Nhiều hơn một</t>
  </si>
  <si>
    <t>Hà Nội- Phạm Thị Phương</t>
  </si>
  <si>
    <t>Loạn thần</t>
  </si>
  <si>
    <t>Rối loạn tâm thần và hành vi do sử dụng nhiều loại ma túy và chất tác động tâm thần khác</t>
  </si>
  <si>
    <t>Rối loạn giấc ngủ</t>
  </si>
  <si>
    <t>Olanzapine</t>
  </si>
  <si>
    <t>Uống tối 5mg</t>
  </si>
  <si>
    <t>BN stress công việc  Thuốc khác: Mirtazapine 15mg uống tối</t>
  </si>
  <si>
    <t>DHN020010</t>
  </si>
  <si>
    <t>Khách hàng bận hẹn quay lại sau</t>
  </si>
  <si>
    <t>DHN020011</t>
  </si>
  <si>
    <t>Ly hôn</t>
  </si>
  <si>
    <t>SKTT</t>
  </si>
  <si>
    <t>Vũ Thị Phương Lan</t>
  </si>
  <si>
    <t>DHN020012</t>
  </si>
  <si>
    <t>DHN020013</t>
  </si>
  <si>
    <t>Rối loạn tâm thần và hành vi do sử dụng các dạng thuốc phiện</t>
  </si>
  <si>
    <t>BN có dùng thêm thuốc: Sertraline 50mg uống sáng</t>
  </si>
  <si>
    <t>DHN020014</t>
  </si>
  <si>
    <t>Lo âu</t>
  </si>
  <si>
    <t>TD Rối loạn lo âu trầm cảm</t>
  </si>
  <si>
    <t>mirtazapin, sulpirid</t>
  </si>
  <si>
    <t>Mirzaten 30mg x 1/2 viên, tối  Devodil 50mg x 2 viên, sáng 1 - tối 1 viên</t>
  </si>
  <si>
    <t>BN không có BHYT  Đề nghị khám nội khoa (hút thuốc lá nhiều, ho -&gt; ktra hô hấp)</t>
  </si>
  <si>
    <t>DHN020015</t>
  </si>
  <si>
    <t>Khách hàng hẹn quay lại  sau</t>
  </si>
  <si>
    <t>DHN020016</t>
  </si>
  <si>
    <t>Người bán dâm (SW)</t>
  </si>
  <si>
    <t>DHN020017</t>
  </si>
  <si>
    <t>DHN020018</t>
  </si>
  <si>
    <t>DHN020019</t>
  </si>
  <si>
    <t xml:space="preserve">Sức khỏe tâm thần </t>
  </si>
  <si>
    <t>DHN020020</t>
  </si>
  <si>
    <t>D02007</t>
  </si>
  <si>
    <t>DHN020021</t>
  </si>
  <si>
    <t>DHN020022</t>
  </si>
  <si>
    <t>DHN020023</t>
  </si>
  <si>
    <t>DHN020024</t>
  </si>
  <si>
    <t>DHN020025</t>
  </si>
  <si>
    <t>DHN020026</t>
  </si>
  <si>
    <t>Không muốn trả lời</t>
  </si>
  <si>
    <t>DHN020027</t>
  </si>
  <si>
    <t>DHN020028</t>
  </si>
  <si>
    <t>D02043</t>
  </si>
  <si>
    <t>DHN020029</t>
  </si>
  <si>
    <t>DHN020030</t>
  </si>
  <si>
    <t>DHN020031</t>
  </si>
  <si>
    <t>DHN020032</t>
  </si>
  <si>
    <t>DHN020033</t>
  </si>
  <si>
    <t>DHN020034</t>
  </si>
  <si>
    <t>Sức khỏe tâm thân</t>
  </si>
  <si>
    <t>DHN020035</t>
  </si>
  <si>
    <t>DHN020036</t>
  </si>
  <si>
    <t>DHN020037</t>
  </si>
  <si>
    <t>DHN020038</t>
  </si>
  <si>
    <t>DHN020039</t>
  </si>
  <si>
    <t>D02040</t>
  </si>
  <si>
    <t>DHN020040</t>
  </si>
  <si>
    <t>THA</t>
  </si>
  <si>
    <t>buồn chán, lo lắng, mất động lực, không có mục tiêu, muốn buông bỏ,</t>
  </si>
  <si>
    <t>sertralin 50mg</t>
  </si>
  <si>
    <t>Uống mỗi ngày 1 viên, sáng  Grandaxin 50mg, uống sáng 1 - tối 1 viên</t>
  </si>
  <si>
    <t>dùng heroin từ 1993, đã bỏ  3 năm: đá, cỏ bỏ 1-2 tháng  Đọt này: hay quên, buồn chán, lo lắng, mất động lực, không có mục tiêu, ko gia đình, ngại giao tiếp,  hiện tại không có YTTS</t>
  </si>
  <si>
    <t>DHN020041</t>
  </si>
  <si>
    <t>suc khoe tam than</t>
  </si>
  <si>
    <t>DHN020042</t>
  </si>
  <si>
    <t>DHN020043</t>
  </si>
  <si>
    <t>DHN020044</t>
  </si>
  <si>
    <t>Có nhưng đã mất</t>
  </si>
  <si>
    <t>DHN020045</t>
  </si>
  <si>
    <t>DHN020046</t>
  </si>
  <si>
    <t>DHN020047</t>
  </si>
  <si>
    <t>DHN020048</t>
  </si>
  <si>
    <t>Góa</t>
  </si>
  <si>
    <t>DHN020049</t>
  </si>
  <si>
    <t>D02001</t>
  </si>
  <si>
    <t>DHN020050</t>
  </si>
  <si>
    <t>DHN020051</t>
  </si>
  <si>
    <t>DHN020052</t>
  </si>
  <si>
    <t>DHN020053</t>
  </si>
  <si>
    <t>DHN020054</t>
  </si>
  <si>
    <t>DHN020055</t>
  </si>
  <si>
    <t>DHN020056</t>
  </si>
  <si>
    <t>DHN020057</t>
  </si>
  <si>
    <t>DHN020058</t>
  </si>
  <si>
    <t>DHN020059</t>
  </si>
  <si>
    <t>DHN020060</t>
  </si>
  <si>
    <t>DHN020061</t>
  </si>
  <si>
    <t>THA - ĐTĐ</t>
  </si>
  <si>
    <t>sertralin, quetiapine</t>
  </si>
  <si>
    <t>sertralin 50mg x 1 viên, sáng  quetiapine 50mg x 1 viên, tối</t>
  </si>
  <si>
    <t>Bn sau ly hôn, stress  Tư vấn ngừng sử dụng chất  Hỗ trợ tâm lý, các hoạt động xã hội</t>
  </si>
  <si>
    <t>DHN020062</t>
  </si>
  <si>
    <t>Sức khỏe tinh thần</t>
  </si>
  <si>
    <t xml:space="preserve">TD Rối loạn lo âu trầm cảm </t>
  </si>
  <si>
    <t>sertralin 50mg x 1 viên, sáng  Quetiapine 100mg x 1/2 viên, tối</t>
  </si>
  <si>
    <t>BN vừa đi cai về được khoảng 3 tháng, chưa có giấy tờ, bảo hiểm, tự ti với con, lo lắng</t>
  </si>
  <si>
    <t>DHN020063</t>
  </si>
  <si>
    <t>DHN020064</t>
  </si>
  <si>
    <t>DHN020065</t>
  </si>
  <si>
    <t xml:space="preserve">TD Trầm cảm - Loạn thần </t>
  </si>
  <si>
    <t xml:space="preserve"> TS Hở hai lá</t>
  </si>
  <si>
    <t>KH dễ cáu gắt, dễ xích mích với người khác  Nghe tiếng nói trong đầu, xui khiến, chê bai  Cần theo dõi thêm</t>
  </si>
  <si>
    <t>sertralin 100mg x 1 viên,sáng  olanzapin 5mg x 1 viên, tối</t>
  </si>
  <si>
    <t>KH có tiền sử Hẹp hở van tim, đề nghị khám lại CK tim mạch (KH không có BH)  KH dễ cáu gắt, dễ xích mích với người khác  Nghe tiếng nói trong đầu, xui khiến, chê bai</t>
  </si>
  <si>
    <t>DHN020066</t>
  </si>
  <si>
    <t>DO2002</t>
  </si>
  <si>
    <t>DHN020067</t>
  </si>
  <si>
    <t>DHN020068</t>
  </si>
  <si>
    <t>D02003</t>
  </si>
  <si>
    <t>DHN020069</t>
  </si>
  <si>
    <t>DHN020070</t>
  </si>
  <si>
    <t>DO2009</t>
  </si>
  <si>
    <t>DHN020071</t>
  </si>
  <si>
    <t>DHN020072</t>
  </si>
  <si>
    <t>DHN020073</t>
  </si>
  <si>
    <t>D02030</t>
  </si>
  <si>
    <t>DHN020074</t>
  </si>
  <si>
    <t>DO2013</t>
  </si>
  <si>
    <t>DHN020075</t>
  </si>
  <si>
    <t>D02017</t>
  </si>
  <si>
    <t>DHN020076</t>
  </si>
  <si>
    <t>DHN020077</t>
  </si>
  <si>
    <t>DHN020078</t>
  </si>
  <si>
    <t>DHN020079</t>
  </si>
  <si>
    <t>DHN020080</t>
  </si>
  <si>
    <t>DHN020081</t>
  </si>
  <si>
    <t>DHN020082</t>
  </si>
  <si>
    <t>DHN020083</t>
  </si>
  <si>
    <t>DHN020084</t>
  </si>
  <si>
    <t>D02025</t>
  </si>
  <si>
    <t>DHN020085</t>
  </si>
  <si>
    <t>DHN020086</t>
  </si>
  <si>
    <t>DHN020087</t>
  </si>
  <si>
    <t>DHN020088</t>
  </si>
  <si>
    <t>DHN020089</t>
  </si>
  <si>
    <t>DHN020090</t>
  </si>
  <si>
    <t>DHN020091</t>
  </si>
  <si>
    <t>DHN020092</t>
  </si>
  <si>
    <t>DHN020093</t>
  </si>
  <si>
    <t>Nam quan hệ tình dục đồng giới (MSM)</t>
  </si>
  <si>
    <t>DHN020094</t>
  </si>
  <si>
    <t>DHN020095</t>
  </si>
  <si>
    <t>DHN020096</t>
  </si>
  <si>
    <t>DHN020097</t>
  </si>
  <si>
    <t>DHN020098</t>
  </si>
  <si>
    <t>Olanzapine 5mg</t>
  </si>
  <si>
    <t>Uống tối 1 viên</t>
  </si>
  <si>
    <t>Dùng thêm: Mirtazpine 15mg uống tối</t>
  </si>
  <si>
    <t>DHN020099</t>
  </si>
  <si>
    <t>DHN020100</t>
  </si>
  <si>
    <t>DHN020101</t>
  </si>
  <si>
    <t>DHN020102</t>
  </si>
  <si>
    <t>DHN020103</t>
  </si>
  <si>
    <t>DHN020104</t>
  </si>
  <si>
    <t>DHN020105</t>
  </si>
  <si>
    <t>DHN020106</t>
  </si>
  <si>
    <t>D02031</t>
  </si>
  <si>
    <t>DHN020107</t>
  </si>
  <si>
    <t>DHN020108</t>
  </si>
  <si>
    <t>DHN020109</t>
  </si>
  <si>
    <t>DHN020110</t>
  </si>
  <si>
    <t>DHN020111</t>
  </si>
  <si>
    <t>DHN020112</t>
  </si>
  <si>
    <t>Trình Thị Hoà</t>
  </si>
  <si>
    <t>DHN020113</t>
  </si>
  <si>
    <t>DHN020114</t>
  </si>
  <si>
    <t>DHN020115</t>
  </si>
  <si>
    <t>DHN020116</t>
  </si>
  <si>
    <t>DHN020117</t>
  </si>
  <si>
    <t>DHN020118</t>
  </si>
  <si>
    <t>DHN020119</t>
  </si>
  <si>
    <t>DHN020120</t>
  </si>
  <si>
    <t>DHN020121</t>
  </si>
  <si>
    <t>DHN020122</t>
  </si>
  <si>
    <t>DHN020123</t>
  </si>
  <si>
    <t>D02942</t>
  </si>
  <si>
    <t>Nhịp tim chậm</t>
  </si>
  <si>
    <t>BN bồn chồn nhiều, có ytts. TS có đợt rối loạn hành vi (sau khi sd chất), gây mất trật tự XH, được công an đưa đến BV Tâm thần HN? (không rõ chẩn đoán và thuốc)</t>
  </si>
  <si>
    <t>vào viện</t>
  </si>
  <si>
    <t>đề nghị vào viện</t>
  </si>
  <si>
    <t>Liên hệ với gia đình, nhập viện</t>
  </si>
  <si>
    <t>DHN020124</t>
  </si>
  <si>
    <t>D02015</t>
  </si>
  <si>
    <t>Bn tính cách hướng nội, CĐ trầm cảm, khi bs hỏi về YTTS trong 1 tháng gần đây, BN trả  lời ko có. BN đợt này mất việc, chán nản, lo lắng nhiều, cần theo dõi thêm</t>
  </si>
  <si>
    <t>Mirzaten 30mg x 1/2 viên, uống tối  Devodil 50mg x 2 viên, sáng 1-tối 1 viên</t>
  </si>
  <si>
    <t>BN đợt này mất việc, chán nản, lo lắng nhiều, cần theo dõi thêm</t>
  </si>
  <si>
    <t>DHN020125</t>
  </si>
  <si>
    <t>DHN020126</t>
  </si>
  <si>
    <t>sức khoẻ tâm thần</t>
  </si>
  <si>
    <t>DHN020127</t>
  </si>
  <si>
    <t>DHN020128</t>
  </si>
  <si>
    <t>DHN020129</t>
  </si>
  <si>
    <t>DHN020130</t>
  </si>
  <si>
    <t>DHN020131</t>
  </si>
  <si>
    <t>DHN020132</t>
  </si>
  <si>
    <t>DHN020133</t>
  </si>
  <si>
    <t>DHN020134</t>
  </si>
  <si>
    <t>DHN020135</t>
  </si>
  <si>
    <t>DHN020136</t>
  </si>
  <si>
    <t>DHN020137</t>
  </si>
  <si>
    <t>DHN020138</t>
  </si>
  <si>
    <t>DHN020139</t>
  </si>
  <si>
    <t>DHN020140</t>
  </si>
  <si>
    <t>Tăng men gan - Suy thận</t>
  </si>
  <si>
    <t>Paroxetin 20 mg x 1 viên, uống sáng  Quetiapine 100mg x 1/2 viên, tối</t>
  </si>
  <si>
    <t>6 tháng: ngủ kém, 1-2h/đêm, lấy thuốc ngủ của bố uống (phamzopic 7,5mg x 1 v) -&gt;ngủ 5h,chập chờn,ăn kém,hồi hộp, bồn chồn, buồn chán, lo lắng mơ hồ  KH tự lấy thuốc của người nhà uống, cần theo dõi tuân thủ thuốc  KH có Suy thận- tăng men gan, cần khám và theo dõi nội khoa (đã tư vấn khám BV Đống Đa theo tuyến BH)</t>
  </si>
  <si>
    <t>DHN020141</t>
  </si>
  <si>
    <t>DHN020142</t>
  </si>
  <si>
    <t>DHN020143</t>
  </si>
  <si>
    <t>DHN020144</t>
  </si>
  <si>
    <t>DHN020145</t>
  </si>
  <si>
    <t>DHN020146</t>
  </si>
  <si>
    <t>DHN020147</t>
  </si>
  <si>
    <t>DHN020148</t>
  </si>
  <si>
    <t>DHN020149</t>
  </si>
  <si>
    <t>DHN020150</t>
  </si>
  <si>
    <t>DHN020151</t>
  </si>
  <si>
    <t>DHN020152</t>
  </si>
  <si>
    <t>DHN020153</t>
  </si>
  <si>
    <t>DHN040001</t>
  </si>
  <si>
    <t>Its T time</t>
  </si>
  <si>
    <t>Người chuyển giới (TG)</t>
  </si>
  <si>
    <t>Chu Thanh Hà</t>
  </si>
  <si>
    <t>Truyền thông về Sức khỏe tâm thần</t>
  </si>
  <si>
    <t>Không biết/không trả lời</t>
  </si>
  <si>
    <t>DHN040002</t>
  </si>
  <si>
    <t>Phi nhị nguyên giới</t>
  </si>
  <si>
    <t>DHN040003</t>
  </si>
  <si>
    <t>DHN040004</t>
  </si>
  <si>
    <t>DHN040005</t>
  </si>
  <si>
    <t>DHN040006</t>
  </si>
  <si>
    <t>DHN040007</t>
  </si>
  <si>
    <t xml:space="preserve">Rối loạn hỗn hợp lo âu và trầm cảm </t>
  </si>
  <si>
    <t>Rối loạn nhân cách</t>
  </si>
  <si>
    <t>Có ý tưởng tự sát</t>
  </si>
  <si>
    <t>Sertraline 100mg uống sáng  Quetiapine 50mg uống tối</t>
  </si>
  <si>
    <t>Hỗ trợ tâm lý</t>
  </si>
  <si>
    <t>DHN040008</t>
  </si>
  <si>
    <t>DHN040009</t>
  </si>
  <si>
    <t>Rối loạn trầm cảm tái diễn</t>
  </si>
  <si>
    <t>ngủ kém, suy nghĩ nhiều, lo lắng, hồi hộp, thở nhanh khi stress, buồn chán, có ytts, tự làm đau, khám bsP cách 2w, hiện đỡ hơn, ko làm hại, ko ytts  Cần theo dõi thêm</t>
  </si>
  <si>
    <t>Velaxin 75mg x 2 viên, uống sáng 1 - tối 1 viên  Aritero 10 mg x 1/2 viên, uống tối</t>
  </si>
  <si>
    <t>Tư vấn, theo dõi case  Đánh giá lại QST sau 2 tuần</t>
  </si>
  <si>
    <t>DHY230001</t>
  </si>
  <si>
    <t>Liên minh hạnh phúc</t>
  </si>
  <si>
    <t>Ngô Đức Toàn</t>
  </si>
  <si>
    <t>Ngoài cộng đồng</t>
  </si>
  <si>
    <t>Cơ sở điều trị Methadone Bệnh viện Đa khoa Trần Lãm</t>
  </si>
  <si>
    <t>Nguyễn Minh Chiến</t>
  </si>
  <si>
    <t>F9. Theo dấu khách hàng</t>
  </si>
  <si>
    <t>2026-06-23</t>
  </si>
  <si>
    <t>DHY230002</t>
  </si>
  <si>
    <t>Đặng Văn Huy</t>
  </si>
  <si>
    <t>DHY230003</t>
  </si>
  <si>
    <t>DHY230004</t>
  </si>
  <si>
    <t>Nguyễn Lê Thành Tâm</t>
  </si>
  <si>
    <t>DHY230005</t>
  </si>
  <si>
    <t>DHY230006</t>
  </si>
  <si>
    <t>Phạm Văn Duy</t>
  </si>
  <si>
    <t>DHY230007</t>
  </si>
  <si>
    <t>DHY230008</t>
  </si>
  <si>
    <t>DHY230009</t>
  </si>
  <si>
    <t>Nguyễn Văn Quang</t>
  </si>
  <si>
    <t xml:space="preserve">Cơ sở điều trị Methadon bvdk Trần Lãm </t>
  </si>
  <si>
    <t>DHY230010</t>
  </si>
  <si>
    <t>Cơ sở điều trị Methadon bvdk Trần Lãm</t>
  </si>
  <si>
    <t xml:space="preserve">Sức khoẻ tâm thần </t>
  </si>
  <si>
    <t>DHY230011</t>
  </si>
  <si>
    <t>DHY230012</t>
  </si>
  <si>
    <t>DHY230013</t>
  </si>
  <si>
    <t>DHY230014</t>
  </si>
  <si>
    <t>DHY230015</t>
  </si>
  <si>
    <t>DHY230016</t>
  </si>
  <si>
    <t>DHY230017</t>
  </si>
  <si>
    <t>DHY230018</t>
  </si>
  <si>
    <t>DHY230019</t>
  </si>
  <si>
    <t>DHY230020</t>
  </si>
  <si>
    <t>DHY230021</t>
  </si>
  <si>
    <t>DHY230022</t>
  </si>
  <si>
    <t>Cơ sở điều trin Methadon bvdk Trần Lãm</t>
  </si>
  <si>
    <t>Hà Thị Kiều Anh</t>
  </si>
  <si>
    <t>DHY230023</t>
  </si>
  <si>
    <t>DHY230024</t>
  </si>
  <si>
    <t>DHY230025</t>
  </si>
  <si>
    <t>DHY230026</t>
  </si>
  <si>
    <t>DHY230027</t>
  </si>
  <si>
    <t>Cơ sở Methadon bvdk Trần Lãm</t>
  </si>
  <si>
    <t>DHY230028</t>
  </si>
  <si>
    <t xml:space="preserve">Cơ sở Methadon bvdk Trần Lãm </t>
  </si>
  <si>
    <t>DHY230029</t>
  </si>
  <si>
    <t xml:space="preserve">Sức khoẻ tâm thân </t>
  </si>
  <si>
    <t>DHY230030</t>
  </si>
  <si>
    <t>DHY230031</t>
  </si>
  <si>
    <t>DHY230032</t>
  </si>
  <si>
    <t>DHY230033</t>
  </si>
  <si>
    <t>DHY230034</t>
  </si>
  <si>
    <t>Cơ sở điều trị Methadon Trần Lãm</t>
  </si>
  <si>
    <t>DHY230035</t>
  </si>
  <si>
    <t>DHY230036</t>
  </si>
  <si>
    <t>DHY230037</t>
  </si>
  <si>
    <t>DHY230038</t>
  </si>
  <si>
    <t>DHY230039</t>
  </si>
  <si>
    <t>DHY230040</t>
  </si>
  <si>
    <t>DHY230041</t>
  </si>
  <si>
    <t>DHY230042</t>
  </si>
  <si>
    <t>DHY230043</t>
  </si>
  <si>
    <t>DHY230044</t>
  </si>
  <si>
    <t>DHY230045</t>
  </si>
  <si>
    <t>DHY230046</t>
  </si>
  <si>
    <t>DHY230047</t>
  </si>
  <si>
    <t>DHY230048</t>
  </si>
  <si>
    <t>DHY230049</t>
  </si>
  <si>
    <t>DHY230050</t>
  </si>
  <si>
    <t>DHY230051</t>
  </si>
  <si>
    <t>DHY230052</t>
  </si>
  <si>
    <t>DHY230053</t>
  </si>
  <si>
    <t>DHY230054</t>
  </si>
  <si>
    <t>DHY230055</t>
  </si>
  <si>
    <t>DHY230056</t>
  </si>
  <si>
    <t>DHY230057</t>
  </si>
  <si>
    <t>DHY230058</t>
  </si>
  <si>
    <t>DHY230059</t>
  </si>
  <si>
    <t>DHY230060</t>
  </si>
  <si>
    <t>DHY230061</t>
  </si>
  <si>
    <t>DHY230062</t>
  </si>
  <si>
    <t>DHY230063</t>
  </si>
  <si>
    <t>DHY230064</t>
  </si>
  <si>
    <t>DHY230065</t>
  </si>
  <si>
    <t>DHY230066</t>
  </si>
  <si>
    <t>DHY230067</t>
  </si>
  <si>
    <t>DHY230068</t>
  </si>
  <si>
    <t>DHY230069</t>
  </si>
  <si>
    <t>DHY230070</t>
  </si>
  <si>
    <t>DHY230071</t>
  </si>
  <si>
    <t>DHY230072</t>
  </si>
  <si>
    <t>DHY230073</t>
  </si>
  <si>
    <t>DHY230074</t>
  </si>
  <si>
    <t>DHY230075</t>
  </si>
  <si>
    <t>DHY230076</t>
  </si>
  <si>
    <t>DHY230077</t>
  </si>
  <si>
    <t>DHY230078</t>
  </si>
  <si>
    <t>DHY230079</t>
  </si>
  <si>
    <t>DHY230080</t>
  </si>
  <si>
    <t>DHY230081</t>
  </si>
  <si>
    <t>DHY230082</t>
  </si>
  <si>
    <t>DHY230083</t>
  </si>
  <si>
    <t>DHY230084</t>
  </si>
  <si>
    <t>DHY230085</t>
  </si>
  <si>
    <t>DHY230086</t>
  </si>
  <si>
    <t>DHY230087</t>
  </si>
  <si>
    <t>DHY230088</t>
  </si>
  <si>
    <t>DHY230089</t>
  </si>
  <si>
    <t>DHY230090</t>
  </si>
  <si>
    <t>DHY230091</t>
  </si>
  <si>
    <t>DHY230092</t>
  </si>
  <si>
    <t>DHY230093</t>
  </si>
  <si>
    <t>DHY230094</t>
  </si>
  <si>
    <t>DHY230095</t>
  </si>
  <si>
    <t>DHY230096</t>
  </si>
  <si>
    <t>DHY230097</t>
  </si>
  <si>
    <t>DHY230098</t>
  </si>
  <si>
    <t>DHY230099</t>
  </si>
  <si>
    <t>DHY230100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</si>
</sst>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rial"/>
      <family val="2"/>
      <charset val="1"/>
    </font>
    <font>
      <sz val="10"/>
      <name val="Arial"/>
      <family val="2"/>
      <charset val="1"/>
    </font>
    <font>
      <b/>
      <sz val="11"/>
      <color theme="1"/>
      <name val="Arial"/>
      <family val="2"/>
      <charset val="1"/>
    </font>
    <font>
      <sz val="11"/>
      <color rgb="FFFF0000"/>
      <name val="Arial"/>
      <family val="2"/>
      <charset val="1"/>
    </font>
    <font>
      <sz val="14"/>
      <color rgb="FF000000"/>
      <name val="Cambria"/>
      <family val="1"/>
      <charset val="1"/>
    </font>
    <font>
      <b/>
      <sz val="13"/>
      <color theme="1"/>
      <name val="Arial"/>
      <family val="2"/>
      <charset val="1"/>
    </font>
    <font>
      <sz val="13"/>
      <color theme="1"/>
      <name val="Arial"/>
      <family val="2"/>
      <charset val="1"/>
    </font>
    <font>
      <b/>
      <sz val="13"/>
      <name val="Arial"/>
      <family val="2"/>
      <charset val="1"/>
    </font>
    <font>
      <b/>
      <sz val="11"/>
      <name val="Arial"/>
      <family val="2"/>
      <charset val="1"/>
    </font>
    <font>
      <b/>
      <sz val="14"/>
      <color rgb="FF000000"/>
      <name val="Cambria"/>
      <family val="1"/>
      <charset val="1"/>
    </font>
    <font>
      <sz val="12"/>
      <color theme="1"/>
      <name val="Arial"/>
      <family val="2"/>
      <charset val="1"/>
    </font>
    <font>
      <i/>
      <sz val="13"/>
      <color theme="1"/>
      <name val="Arial"/>
      <family val="2"/>
      <charset val="1"/>
    </font>
    <font>
      <sz val="13"/>
      <color rgb="FF000000"/>
      <name val="Arial"/>
      <family val="2"/>
      <charset val="1"/>
    </font>
    <font>
      <b/>
      <sz val="13"/>
      <color rgb="FF000000"/>
      <name val="Arial"/>
      <family val="2"/>
      <charset val="1"/>
    </font>
    <font>
      <i/>
      <sz val="12"/>
      <color theme="1"/>
      <name val="Arial"/>
      <family val="2"/>
      <charset val="1"/>
    </font>
    <font>
      <i/>
      <sz val="12"/>
      <color rgb="FF000000"/>
      <name val="Arial"/>
      <family val="2"/>
      <charset val="1"/>
    </font>
    <font>
      <b/>
      <sz val="13"/>
      <color rgb="FF000000"/>
      <name val="Cambria"/>
      <family val="1"/>
      <charset val="1"/>
    </font>
    <font>
      <sz val="13"/>
      <color rgb="FF000000"/>
      <name val="Cambria"/>
      <family val="1"/>
      <charset val="1"/>
    </font>
    <font>
      <i/>
      <sz val="11"/>
      <color theme="1"/>
      <name val="Arial"/>
      <family val="2"/>
      <charset val="1"/>
    </font>
    <font>
      <b/>
      <sz val="11"/>
      <name val="Arial"/>
      <family val="2"/>
      <charset val="163"/>
    </font>
    <font>
      <i/>
      <sz val="13"/>
      <color rgb="FFFF0000"/>
      <name val="Arial"/>
      <family val="2"/>
      <charset val="1"/>
    </font>
    <font>
      <i/>
      <sz val="11"/>
      <color rgb="FFFF0000"/>
      <name val="Arial"/>
      <family val="2"/>
      <charset val="1"/>
    </font>
    <font>
      <b/>
      <sz val="11"/>
      <color rgb="FF0000FF"/>
      <name val="Arial"/>
      <family val="2"/>
      <charset val="163"/>
    </font>
    <font>
      <sz val="10"/>
      <name val="Arial"/>
      <family val="2"/>
    </font>
    <font>
      <sz val="13"/>
      <color rgb="FF000000"/>
      <name val="Arial"/>
      <family val="2"/>
      <charset val="163"/>
    </font>
    <font>
      <sz val="13"/>
      <color theme="1"/>
      <name val="Arial"/>
      <family val="2"/>
      <charset val="163"/>
    </font>
  </fonts>
  <fills count="8">
    <fill>
      <patternFill patternType="none"/>
    </fill>
    <fill>
      <patternFill patternType="gray125"/>
    </fill>
    <fill>
      <patternFill patternType="solid">
        <fgColor rgb="FFFFFFFF"/>
        <bgColor rgb="FFFFFFCC"/>
      </patternFill>
    </fill>
    <fill>
      <patternFill patternType="solid">
        <fgColor rgb="FF92D050"/>
        <bgColor rgb="FFC0C0C0"/>
      </patternFill>
    </fill>
    <fill>
      <patternFill patternType="solid">
        <fgColor theme="4"/>
        <bgColor rgb="FF666699"/>
      </patternFill>
    </fill>
    <fill>
      <patternFill patternType="solid">
        <fgColor rgb="FFFFC000"/>
        <bgColor rgb="FFFF9900"/>
      </patternFill>
    </fill>
    <fill>
      <patternFill patternType="solid">
        <fgColor theme="8" tint="0.79979857783745845"/>
        <bgColor rgb="FFCCFFFF"/>
      </patternFill>
    </fill>
    <fill>
      <patternFill patternType="solid">
        <fgColor rgb="FFFFFF00"/>
        <bgColor rgb="FFFFFF00"/>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diagonal/>
    </border>
  </borders>
  <cellStyleXfs count="2">
    <xf numFmtId="0" fontId="0" fillId="0" borderId="0"/>
    <xf numFmtId="0" fontId="1" fillId="0" borderId="0"/>
  </cellStyleXfs>
  <cellXfs count="104">
    <xf numFmtId="0" fontId="0" fillId="0" borderId="0" xfId="0"/>
    <xf numFmtId="0" fontId="6" fillId="0" borderId="1" xfId="0" applyFont="1" applyBorder="1" applyAlignment="1">
      <alignment horizontal="center" vertical="center" wrapText="1"/>
    </xf>
    <xf numFmtId="0" fontId="12" fillId="2" borderId="1" xfId="0" applyFont="1" applyFill="1" applyBorder="1" applyAlignment="1">
      <alignment horizontal="left" vertical="center"/>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xf>
    <xf numFmtId="0" fontId="0" fillId="0" borderId="0" xfId="0" applyAlignment="1">
      <alignment horizontal="center"/>
    </xf>
    <xf numFmtId="0" fontId="2" fillId="0" borderId="0" xfId="0" applyFont="1"/>
    <xf numFmtId="0" fontId="0" fillId="0" borderId="1" xfId="0" applyBorder="1"/>
    <xf numFmtId="0" fontId="3" fillId="0" borderId="0" xfId="0" applyFont="1"/>
    <xf numFmtId="0" fontId="0" fillId="0" borderId="1" xfId="0" applyBorder="1" applyAlignment="1">
      <alignment horizontal="center"/>
    </xf>
    <xf numFmtId="0" fontId="0" fillId="0" borderId="0" xfId="0" applyAlignment="1">
      <alignment horizontal="left"/>
    </xf>
    <xf numFmtId="0" fontId="4" fillId="2" borderId="0" xfId="0" applyFont="1" applyFill="1" applyAlignment="1">
      <alignment horizontal="center" vertical="center"/>
    </xf>
    <xf numFmtId="0" fontId="5"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left"/>
    </xf>
    <xf numFmtId="0" fontId="6" fillId="0" borderId="0" xfId="0" applyFont="1"/>
    <xf numFmtId="0" fontId="6" fillId="0" borderId="1" xfId="0" applyFont="1" applyBorder="1" applyAlignment="1">
      <alignment horizontal="center"/>
    </xf>
    <xf numFmtId="0" fontId="4" fillId="2"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2" borderId="2" xfId="0" applyFont="1" applyFill="1" applyBorder="1" applyAlignment="1">
      <alignment horizontal="center" vertical="center"/>
    </xf>
    <xf numFmtId="0" fontId="8" fillId="5" borderId="1" xfId="0" applyFont="1" applyFill="1" applyBorder="1" applyAlignment="1">
      <alignment horizontal="center" vertical="center"/>
    </xf>
    <xf numFmtId="0" fontId="9"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5" borderId="1" xfId="0" applyFont="1" applyFill="1" applyBorder="1" applyAlignment="1">
      <alignment horizontal="left" vertical="center"/>
    </xf>
    <xf numFmtId="0" fontId="7" fillId="2" borderId="2" xfId="0" applyFont="1" applyFill="1" applyBorder="1" applyAlignment="1">
      <alignment horizontal="left" vertical="center"/>
    </xf>
    <xf numFmtId="0" fontId="10" fillId="2" borderId="1" xfId="0" applyFont="1" applyFill="1" applyBorder="1"/>
    <xf numFmtId="0" fontId="6" fillId="5"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0" borderId="1" xfId="0" applyFont="1" applyBorder="1" applyAlignment="1">
      <alignment horizontal="center" vertical="center"/>
    </xf>
    <xf numFmtId="0" fontId="6" fillId="0" borderId="3" xfId="0" applyFont="1" applyBorder="1" applyAlignment="1">
      <alignment horizontal="left" vertical="center" wrapText="1"/>
    </xf>
    <xf numFmtId="0" fontId="11" fillId="0" borderId="1" xfId="0" applyFont="1" applyBorder="1" applyAlignment="1">
      <alignment horizontal="center" vertical="center" wrapText="1"/>
    </xf>
    <xf numFmtId="0" fontId="6" fillId="5" borderId="1" xfId="0" applyFont="1" applyFill="1" applyBorder="1" applyAlignment="1">
      <alignment horizontal="left" vertical="center"/>
    </xf>
    <xf numFmtId="0" fontId="6" fillId="0" borderId="2" xfId="0" applyFont="1" applyBorder="1" applyAlignment="1">
      <alignment horizontal="left" vertical="center" wrapText="1"/>
    </xf>
    <xf numFmtId="0" fontId="4" fillId="2" borderId="4" xfId="0" applyFont="1" applyFill="1" applyBorder="1" applyAlignment="1">
      <alignment horizontal="center" vertical="center"/>
    </xf>
    <xf numFmtId="0" fontId="13" fillId="2" borderId="1" xfId="0" applyFont="1" applyFill="1" applyBorder="1" applyAlignment="1">
      <alignment horizontal="left" vertical="center"/>
    </xf>
    <xf numFmtId="0" fontId="5" fillId="0" borderId="1" xfId="0" applyFont="1" applyBorder="1" applyAlignment="1">
      <alignment horizontal="center" vertical="center"/>
    </xf>
    <xf numFmtId="0" fontId="5" fillId="0" borderId="3" xfId="0" applyFont="1" applyBorder="1" applyAlignment="1">
      <alignment horizontal="left" vertical="center" wrapText="1"/>
    </xf>
    <xf numFmtId="0" fontId="14" fillId="0" borderId="1" xfId="0" applyFont="1" applyBorder="1"/>
    <xf numFmtId="0" fontId="15" fillId="2" borderId="4" xfId="0" applyFont="1" applyFill="1" applyBorder="1" applyAlignment="1">
      <alignment horizontal="left" vertical="center"/>
    </xf>
    <xf numFmtId="0" fontId="6" fillId="0" borderId="4" xfId="0" applyFont="1" applyBorder="1"/>
    <xf numFmtId="0" fontId="12" fillId="2" borderId="4" xfId="0" applyFont="1" applyFill="1" applyBorder="1" applyAlignment="1">
      <alignment horizontal="left" vertical="center"/>
    </xf>
    <xf numFmtId="0" fontId="9" fillId="2" borderId="4" xfId="0" applyFont="1" applyFill="1" applyBorder="1" applyAlignment="1">
      <alignment horizontal="center" vertical="center"/>
    </xf>
    <xf numFmtId="0" fontId="14" fillId="0" borderId="4" xfId="0" applyFont="1" applyBorder="1"/>
    <xf numFmtId="0" fontId="5" fillId="3" borderId="3" xfId="0" applyFont="1" applyFill="1" applyBorder="1" applyAlignment="1">
      <alignment horizontal="left" vertical="center" wrapText="1"/>
    </xf>
    <xf numFmtId="0" fontId="5" fillId="0" borderId="0" xfId="0" applyFont="1"/>
    <xf numFmtId="0" fontId="16" fillId="2" borderId="4" xfId="0" applyFont="1" applyFill="1" applyBorder="1" applyAlignment="1">
      <alignment horizontal="center" vertical="center"/>
    </xf>
    <xf numFmtId="0" fontId="5" fillId="0" borderId="4" xfId="0" applyFont="1" applyBorder="1"/>
    <xf numFmtId="0" fontId="13" fillId="2" borderId="4" xfId="0" applyFont="1" applyFill="1" applyBorder="1" applyAlignment="1">
      <alignment horizontal="left" vertical="center"/>
    </xf>
    <xf numFmtId="0" fontId="5" fillId="5" borderId="1" xfId="0" applyFont="1" applyFill="1" applyBorder="1" applyAlignment="1">
      <alignment horizontal="left" vertical="center"/>
    </xf>
    <xf numFmtId="0" fontId="17" fillId="2" borderId="1" xfId="0" applyFont="1" applyFill="1" applyBorder="1" applyAlignment="1">
      <alignment horizontal="center" vertical="center"/>
    </xf>
    <xf numFmtId="0" fontId="6" fillId="0" borderId="1" xfId="0" applyFont="1" applyBorder="1"/>
    <xf numFmtId="0" fontId="4" fillId="2" borderId="6" xfId="0" applyFont="1" applyFill="1" applyBorder="1" applyAlignment="1">
      <alignment horizontal="center" vertical="center"/>
    </xf>
    <xf numFmtId="0" fontId="18" fillId="0" borderId="8" xfId="0" applyFont="1" applyBorder="1"/>
    <xf numFmtId="0" fontId="6" fillId="0" borderId="7" xfId="0" applyFont="1" applyBorder="1"/>
    <xf numFmtId="0" fontId="18" fillId="0" borderId="5" xfId="0" applyFont="1" applyBorder="1"/>
    <xf numFmtId="0" fontId="18" fillId="0" borderId="9" xfId="0" applyFont="1" applyBorder="1"/>
    <xf numFmtId="0" fontId="6" fillId="0" borderId="5" xfId="0" applyFont="1" applyBorder="1"/>
    <xf numFmtId="0" fontId="5" fillId="0" borderId="1" xfId="0" applyFont="1" applyBorder="1"/>
    <xf numFmtId="0" fontId="5" fillId="0" borderId="5" xfId="0" applyFont="1" applyBorder="1"/>
    <xf numFmtId="0" fontId="5" fillId="0" borderId="2" xfId="0" applyFont="1" applyBorder="1" applyAlignment="1">
      <alignment horizontal="left" vertical="center" wrapText="1"/>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0" fillId="0" borderId="0" xfId="0" applyFont="1"/>
    <xf numFmtId="0" fontId="19" fillId="0" borderId="0" xfId="0" applyFont="1"/>
    <xf numFmtId="0" fontId="19" fillId="0" borderId="0" xfId="0" applyFont="1" applyAlignment="1">
      <alignment horizontal="center"/>
    </xf>
    <xf numFmtId="0" fontId="21" fillId="0" borderId="0" xfId="0" applyFont="1" applyAlignment="1">
      <alignment horizontal="left" vertical="center" wrapText="1"/>
    </xf>
    <xf numFmtId="14" fontId="22" fillId="7" borderId="1" xfId="0" applyNumberFormat="1" applyFont="1" applyFill="1" applyBorder="1" applyAlignment="1">
      <alignment horizontal="center"/>
    </xf>
    <xf numFmtId="14" fontId="0" fillId="0" borderId="0" xfId="0" applyNumberFormat="1"/>
    <xf numFmtId="0" fontId="24" fillId="2" borderId="5" xfId="0" applyFont="1" applyFill="1" applyBorder="1" applyAlignment="1">
      <alignment horizontal="center" vertical="center"/>
    </xf>
    <xf numFmtId="0" fontId="25" fillId="2" borderId="1" xfId="0" applyFont="1" applyFill="1" applyBorder="1" applyAlignment="1">
      <alignment horizontal="center" vertical="center" wrapText="1"/>
    </xf>
    <xf numFmtId="0" fontId="25" fillId="2" borderId="1" xfId="0" applyFont="1" applyFill="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center" vertical="center"/>
    </xf>
    <xf numFmtId="0" fontId="24" fillId="2" borderId="1" xfId="0" applyFont="1" applyFill="1" applyBorder="1" applyAlignment="1">
      <alignment horizontal="center" vertical="center"/>
    </xf>
    <xf numFmtId="0" fontId="25" fillId="0" borderId="5" xfId="0" applyFont="1" applyBorder="1" applyAlignment="1">
      <alignment horizontal="center"/>
    </xf>
    <xf numFmtId="0" fontId="25" fillId="0" borderId="1" xfId="0" applyFont="1" applyBorder="1" applyAlignment="1">
      <alignment horizontal="center"/>
    </xf>
    <xf numFmtId="0" fontId="5" fillId="3" borderId="3" xfId="0" applyFont="1" applyFill="1" applyBorder="1" applyAlignment="1">
      <alignment horizontal="left" vertical="center" wrapText="1"/>
    </xf>
    <xf numFmtId="0" fontId="20" fillId="0" borderId="0" xfId="0" applyFont="1" applyAlignment="1">
      <alignment horizontal="center"/>
    </xf>
    <xf numFmtId="0" fontId="6" fillId="0" borderId="1" xfId="0" applyFont="1" applyBorder="1" applyAlignment="1">
      <alignment horizontal="center" vertical="center" wrapText="1"/>
    </xf>
    <xf numFmtId="0" fontId="6" fillId="0" borderId="8" xfId="0" applyFont="1" applyBorder="1" applyAlignment="1">
      <alignment horizontal="left" vertical="center" wrapText="1"/>
    </xf>
    <xf numFmtId="0" fontId="5" fillId="3" borderId="1" xfId="0" applyFont="1" applyFill="1" applyBorder="1" applyAlignment="1">
      <alignment horizontal="center" vertical="center" wrapText="1"/>
    </xf>
    <xf numFmtId="0" fontId="4" fillId="2" borderId="4" xfId="0" applyFont="1" applyFill="1" applyBorder="1" applyAlignment="1">
      <alignment horizontal="center" vertical="center"/>
    </xf>
    <xf numFmtId="0" fontId="6" fillId="0" borderId="4" xfId="0" applyFont="1" applyBorder="1" applyAlignment="1">
      <alignment horizontal="center" vertical="center" wrapText="1"/>
    </xf>
    <xf numFmtId="0" fontId="5" fillId="3" borderId="2" xfId="0" applyFont="1" applyFill="1" applyBorder="1" applyAlignment="1">
      <alignment horizontal="left" vertical="center" wrapText="1"/>
    </xf>
    <xf numFmtId="0" fontId="12" fillId="2" borderId="1" xfId="0" applyFont="1" applyFill="1" applyBorder="1" applyAlignment="1">
      <alignment horizontal="left" vertical="center"/>
    </xf>
    <xf numFmtId="0" fontId="6" fillId="0" borderId="1" xfId="0" applyFont="1" applyBorder="1" applyAlignment="1">
      <alignment horizontal="left" vertical="center" wrapText="1"/>
    </xf>
    <xf numFmtId="0" fontId="6" fillId="0" borderId="7" xfId="0" applyFont="1" applyBorder="1" applyAlignment="1">
      <alignment horizontal="left" wrapText="1"/>
    </xf>
    <xf numFmtId="0" fontId="6" fillId="2" borderId="1" xfId="0" applyFont="1" applyFill="1" applyBorder="1" applyAlignment="1">
      <alignment horizontal="left" vertical="center" wrapText="1"/>
    </xf>
    <xf numFmtId="0" fontId="5" fillId="0" borderId="1" xfId="0" applyFont="1" applyBorder="1" applyAlignment="1">
      <alignment horizontal="left" vertical="center" wrapText="1"/>
    </xf>
    <xf numFmtId="0" fontId="12" fillId="2" borderId="5" xfId="0" applyFont="1" applyFill="1" applyBorder="1" applyAlignment="1">
      <alignment horizontal="left" vertical="center"/>
    </xf>
    <xf numFmtId="0" fontId="5" fillId="3" borderId="1" xfId="0" applyFont="1" applyFill="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wrapText="1"/>
    </xf>
    <xf numFmtId="0" fontId="5" fillId="2"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REAMHQunLKhchHng_DATA_LABELS_2026_06_30_1059" displayName="DREAMHQunLKhchHng_DATA_LABELS_2026_06_30_1059" ref="A1:JB766" totalsRowShown="0">
  <autoFilter ref="A1:JB766" xr:uid="{00000000-0009-0000-0100-000001000000}"/>
  <tableColumns count="262">
    <tableColumn id="1" xr3:uid="{00000000-0010-0000-0000-000001000000}" name="Record ID"/>
    <tableColumn id="2" xr3:uid="{00000000-0010-0000-0000-000002000000}" name="Repeat Instrument"/>
    <tableColumn id="3" xr3:uid="{00000000-0010-0000-0000-000003000000}" name="Repeat Instance"/>
    <tableColumn id="4" xr3:uid="{00000000-0010-0000-0000-000004000000}" name="Data Access Group"/>
    <tableColumn id="5" xr3:uid="{00000000-0010-0000-0000-000005000000}" name="Ngày tham gia"/>
    <tableColumn id="6" xr3:uid="{00000000-0010-0000-0000-000006000000}" name="Khách hàng có tham gia nghiên cứu đầu vào của dự án không?"/>
    <tableColumn id="7" xr3:uid="{00000000-0010-0000-0000-000007000000}" name="Mã khách hàng nghiên cứu"/>
    <tableColumn id="8" xr3:uid="{00000000-0010-0000-0000-000008000000}" name="A1 - Giới tính hiện tại bạn tự xác định là gì? "/>
    <tableColumn id="9" xr3:uid="{00000000-0010-0000-0000-000009000000}" name="A1 - Giới tính khi sinh của bạn là gì?"/>
    <tableColumn id="10" xr3:uid="{00000000-0010-0000-0000-00000A000000}" name="A3 - Bạn sinh năm bao nhiêu?"/>
    <tableColumn id="11" xr3:uid="{00000000-0010-0000-0000-00000B000000}" name="A4 - Bạn cảm thấy mình thuộc nhóm nào sau đây? "/>
    <tableColumn id="12" xr3:uid="{00000000-0010-0000-0000-00000C000000}" name="A5 - Bạn có thuộc nhóm nào khác không?  (choice=Không)"/>
    <tableColumn id="13" xr3:uid="{00000000-0010-0000-0000-00000D000000}" name="A5 - Bạn có thuộc nhóm nào khác không?  (choice=Người sử dụng ma túy (PUD))"/>
    <tableColumn id="14" xr3:uid="{00000000-0010-0000-0000-00000E000000}" name="A5 - Bạn có thuộc nhóm nào khác không?  (choice=Người sống chung với HIV (PLHIV))"/>
    <tableColumn id="15" xr3:uid="{00000000-0010-0000-0000-00000F000000}" name="A5 - Bạn có thuộc nhóm nào khác không?  (choice=Người chuyển giới (TG))"/>
    <tableColumn id="16" xr3:uid="{00000000-0010-0000-0000-000010000000}" name="A5 - Bạn có thuộc nhóm nào khác không?  (choice=Nam quan hệ tình dục đồng giới (MSM))"/>
    <tableColumn id="17" xr3:uid="{00000000-0010-0000-0000-000011000000}" name="A5 - Bạn có thuộc nhóm nào khác không?  (choice=Người bán dâm (SW))"/>
    <tableColumn id="18" xr3:uid="{00000000-0010-0000-0000-000012000000}" name="A6 - Bạn có CCCD/CMND không? "/>
    <tableColumn id="19" xr3:uid="{00000000-0010-0000-0000-000013000000}" name="A7 - Bạn có đăng ký cư trú tại thành phố này không?  "/>
    <tableColumn id="20" xr3:uid="{00000000-0010-0000-0000-000014000000}" name="A8 - Bạn có thẻ bảo hiểm y tế không?  "/>
    <tableColumn id="21" xr3:uid="{00000000-0010-0000-0000-000015000000}" name="A9 - Trong 6 tháng qua, bạn có từng rơi vào tình trạng vô gia cư không? "/>
    <tableColumn id="22" xr3:uid="{00000000-0010-0000-0000-000016000000}" name="A9.1 - Hiện bạn có đang vô gia cư không? "/>
    <tableColumn id="23" xr3:uid="{00000000-0010-0000-0000-000017000000}" name="A10 - Trong 6 tháng qua, bạn có từng bị tạm giữ qua đêm không? "/>
    <tableColumn id="24" xr3:uid="{00000000-0010-0000-0000-000018000000}" name="A11 - Tình trạng hôn nhân hiện tại của bạn như thế nào?  "/>
    <tableColumn id="25" xr3:uid="{00000000-0010-0000-0000-000019000000}" name="A12 - Bạn có bao nhiêu người con? (bao gồm cả con nuôi) "/>
    <tableColumn id="26" xr3:uid="{00000000-0010-0000-0000-00001A000000}" name="Complete?"/>
    <tableColumn id="27" xr3:uid="{00000000-0010-0000-0000-00001B000000}" name="DỊCH VỤ CUNG CẤP"/>
    <tableColumn id="28" xr3:uid="{00000000-0010-0000-0000-00001C000000}" name="Ngày thực hiện"/>
    <tableColumn id="29" xr3:uid="{00000000-0010-0000-0000-00001D000000}" name="Người điều hành:"/>
    <tableColumn id="30" xr3:uid="{00000000-0010-0000-0000-00001E000000}" name="Người điều hành:_1"/>
    <tableColumn id="31" xr3:uid="{00000000-0010-0000-0000-00001F000000}" name="Người điều hành:_2"/>
    <tableColumn id="32" xr3:uid="{00000000-0010-0000-0000-000020000000}" name="Địa điểm"/>
    <tableColumn id="33" xr3:uid="{00000000-0010-0000-0000-000021000000}" name="Ngoài cộng đồng (ghi rõ)"/>
    <tableColumn id="34" xr3:uid="{00000000-0010-0000-0000-000022000000}" name="Khác (ghi rõ)"/>
    <tableColumn id="35" xr3:uid="{00000000-0010-0000-0000-000023000000}" name="Chủ đề (điền đúng chủ đề theo nội dung tài liệu)"/>
    <tableColumn id="36" xr3:uid="{00000000-0010-0000-0000-000024000000}" name="Phát tài liệu truyền thông? (đơn vị: quyển- không phát điền số 0)  "/>
    <tableColumn id="37" xr3:uid="{00000000-0010-0000-0000-000025000000}" name="Khách hàng có đồng ý  tham gia sàng lọc bảng hỏi QST tại buổi sau không?"/>
    <tableColumn id="38" xr3:uid="{00000000-0010-0000-0000-000026000000}" name="Phát bao cao su? (đơn vị: chiếc/cái- không phát điền số 0)  "/>
    <tableColumn id="39" xr3:uid="{00000000-0010-0000-0000-000027000000}" name="Phát chất bôi trơn? (đơn vị: chiếc/cái- không phát điền số 0)  "/>
    <tableColumn id="40" xr3:uid="{00000000-0010-0000-0000-000028000000}" name="Phát bơm kim tiêm? (đơn vị: chiếc/cái- không phát điền số 0)  "/>
    <tableColumn id="41" xr3:uid="{00000000-0010-0000-0000-000029000000}" name="Ghi chú"/>
    <tableColumn id="42" xr3:uid="{00000000-0010-0000-0000-00002A000000}" name="Complete?_3"/>
    <tableColumn id="43" xr3:uid="{00000000-0010-0000-0000-00002B000000}" name="Ngày thực hiện_4"/>
    <tableColumn id="44" xr3:uid="{00000000-0010-0000-0000-00002C000000}" name="Người thực hiện"/>
    <tableColumn id="45" xr3:uid="{00000000-0010-0000-0000-00002D000000}" name="Người thực hiện_5"/>
    <tableColumn id="46" xr3:uid="{00000000-0010-0000-0000-00002E000000}" name="Người thực hiện_6"/>
    <tableColumn id="47" xr3:uid="{00000000-0010-0000-0000-00002F000000}" name="Lo lắng tới mức không kiểm soát được"/>
    <tableColumn id="48" xr3:uid="{00000000-0010-0000-0000-000030000000}" name="Cảm thấy buồn chán, mất hết hy vọng"/>
    <tableColumn id="49" xr3:uid="{00000000-0010-0000-0000-000031000000}" name="Gặp những cơn ác mộng lặp lại làm bạn thấy khó chịu không ?"/>
    <tableColumn id="50" xr3:uid="{00000000-0010-0000-0000-000032000000}" name="Suy nghĩ quá nhiều"/>
    <tableColumn id="51" xr3:uid="{00000000-0010-0000-0000-000033000000}" name="Cảm giác bị cô lập xã hội hoặc cô đơn"/>
    <tableColumn id="52" xr3:uid="{00000000-0010-0000-0000-000034000000}" name="Vấn đề về tim (yếu tim, tim nặng trĩu, tim đập nhanh, hồi hộp)"/>
    <tableColumn id="53" xr3:uid="{00000000-0010-0000-0000-000035000000}" name="2. Trong 2 tuần qua, bạn có ý nghĩ tự làm hại bản thân không? "/>
    <tableColumn id="54" xr3:uid="{00000000-0010-0000-0000-000036000000}" name="3. Bạn đã bao giờ Nghe thấy những thứ mà người khác không nghe thấy, như giọng nói chẳng hạn?"/>
    <tableColumn id="55" xr3:uid="{00000000-0010-0000-0000-000037000000}" name="Điểm QST"/>
    <tableColumn id="56" xr3:uid="{00000000-0010-0000-0000-000038000000}" name="Complete?_7"/>
    <tableColumn id="57" xr3:uid="{00000000-0010-0000-0000-000039000000}" name="1. Tên tiếp cận viên phụ trách"/>
    <tableColumn id="58" xr3:uid="{00000000-0010-0000-0000-00003A000000}" name="1.1 Thời gian hỗ trợ"/>
    <tableColumn id="59" xr3:uid="{00000000-0010-0000-0000-00003B000000}" name="2. Dịch vụ hỗ trợ (choice=Thẻ bảo hiểm y tế)"/>
    <tableColumn id="60" xr3:uid="{00000000-0010-0000-0000-00003C000000}" name="2. Dịch vụ hỗ trợ (choice=Hỗ trợ chi phí điều trị Methadone)"/>
    <tableColumn id="61" xr3:uid="{00000000-0010-0000-0000-00003D000000}" name="2. Dịch vụ hỗ trợ (choice=Hỗ trợ giấy tờ tùy thân)"/>
    <tableColumn id="62" xr3:uid="{00000000-0010-0000-0000-00003E000000}" name="2. Dịch vụ hỗ trợ (choice=Hỗ trợ đăng ký cư trú)"/>
    <tableColumn id="63" xr3:uid="{00000000-0010-0000-0000-00003F000000}" name="2. Dịch vụ hỗ trợ (choice=Hỗ trợ tiếp cận trợ cấp xã hội)"/>
    <tableColumn id="64" xr3:uid="{00000000-0010-0000-0000-000040000000}" name="2. Dịch vụ hỗ trợ (choice=Hỗ trợ việc làm)"/>
    <tableColumn id="65" xr3:uid="{00000000-0010-0000-0000-000041000000}" name="2. Dịch vụ hỗ trợ (choice=Hỗ trợ giáo dục)"/>
    <tableColumn id="66" xr3:uid="{00000000-0010-0000-0000-000042000000}" name="2. Dịch vụ hỗ trợ (choice=Hỗ trợ pháp lý)"/>
    <tableColumn id="67" xr3:uid="{00000000-0010-0000-0000-000043000000}" name="2. Dịch vụ hỗ trợ (choice=Khác)"/>
    <tableColumn id="68" xr3:uid="{00000000-0010-0000-0000-000044000000}" name="2.1 Dịch vụ khác"/>
    <tableColumn id="69" xr3:uid="{00000000-0010-0000-0000-000045000000}" name="Complete?_8"/>
    <tableColumn id="70" xr3:uid="{00000000-0010-0000-0000-000046000000}" name="Ngày hỗ trợ"/>
    <tableColumn id="71" xr3:uid="{00000000-0010-0000-0000-000047000000}" name="Người chuyển gửi"/>
    <tableColumn id="72" xr3:uid="{00000000-0010-0000-0000-000048000000}" name="Hình thức điều trị được chỉ định?"/>
    <tableColumn id="73" xr3:uid="{00000000-0010-0000-0000-000049000000}" name="Khác (ghi rõ)_9"/>
    <tableColumn id="74" xr3:uid="{00000000-0010-0000-0000-00004A000000}" name="Có kê đơn thuốc"/>
    <tableColumn id="75" xr3:uid="{00000000-0010-0000-0000-00004B000000}" name="3.1 Khách hàng có đang tuân thủ điều trị không:"/>
    <tableColumn id="76" xr3:uid="{00000000-0010-0000-0000-00004C000000}" name="3.2.a.1 Uống thuốc đều"/>
    <tableColumn id="77" xr3:uid="{00000000-0010-0000-0000-00004D000000}" name="3.2.a.2 Quên thuốc"/>
    <tableColumn id="78" xr3:uid="{00000000-0010-0000-0000-00004E000000}" name="3.2.b KH đi khám đúng hẹn?"/>
    <tableColumn id="79" xr3:uid="{00000000-0010-0000-0000-00004F000000}" name="3.2.c KH tham gia tư vấn/hỗ trợ tại nhóm?"/>
    <tableColumn id="80" xr3:uid="{00000000-0010-0000-0000-000050000000}" name="4. Khó khăn trong tuân thủ?  Khách hàng đang gặp khó khăn gì (có thể chọn nhiều):  (choice=Tác dụng phụ của thuốc)"/>
    <tableColumn id="81" xr3:uid="{00000000-0010-0000-0000-000051000000}" name="4. Khó khăn trong tuân thủ?  Khách hàng đang gặp khó khăn gì (có thể chọn nhiều):  (choice=Thiếu động lực / không muốn điều trị)"/>
    <tableColumn id="82" xr3:uid="{00000000-0010-0000-0000-000052000000}" name="4. Khó khăn trong tuân thủ?  Khách hàng đang gặp khó khăn gì (có thể chọn nhiều):  (choice=Khó khăn tài chính)"/>
    <tableColumn id="83" xr3:uid="{00000000-0010-0000-0000-000053000000}" name="4. Khó khăn trong tuân thủ?  Khách hàng đang gặp khó khăn gì (có thể chọn nhiều):  (choice=Khó khăn đi lại)"/>
    <tableColumn id="84" xr3:uid="{00000000-0010-0000-0000-000054000000}" name="4. Khó khăn trong tuân thủ?  Khách hàng đang gặp khó khăn gì (có thể chọn nhiều):  (choice=Kỳ thị / sợ bị phát hiệ)"/>
    <tableColumn id="85" xr3:uid="{00000000-0010-0000-0000-000055000000}" name="4. Khó khăn trong tuân thủ?  Khách hàng đang gặp khó khăn gì (có thể chọn nhiều):  (choice=Quên lịch / quên uống thuốc)"/>
    <tableColumn id="86" xr3:uid="{00000000-0010-0000-0000-000056000000}" name="4. Khó khăn trong tuân thủ?  Khách hàng đang gặp khó khăn gì (có thể chọn nhiều):  (choice=Sử dụng chất ảnh hưởng điều trị)"/>
    <tableColumn id="87" xr3:uid="{00000000-0010-0000-0000-000057000000}" name="4. Khó khăn trong tuân thủ?  Khách hàng đang gặp khó khăn gì (có thể chọn nhiều):  (choice=Khác)"/>
    <tableColumn id="88" xr3:uid="{00000000-0010-0000-0000-000058000000}" name="Khác"/>
    <tableColumn id="89" xr3:uid="{00000000-0010-0000-0000-000059000000}" name="5. Đánh giá tình trạng sức khỏe tâm thần hiện tại, KH cảm thấy"/>
    <tableColumn id="90" xr3:uid="{00000000-0010-0000-0000-00005A000000}" name="5.1 Biểu hiện hiện tại (nếu có)"/>
    <tableColumn id="91" xr3:uid="{00000000-0010-0000-0000-00005B000000}" name="5.2 Có dấu hiệu nguy cơ (tự hại, loạn thần ...)"/>
    <tableColumn id="92" xr3:uid="{00000000-0010-0000-0000-00005C000000}" name="6.1 Tiếp tục theo dõi?"/>
    <tableColumn id="93" xr3:uid="{00000000-0010-0000-0000-00005D000000}" name="6.2 Tần suất"/>
    <tableColumn id="94" xr3:uid="{00000000-0010-0000-0000-00005E000000}" name="6.2.1 Khác"/>
    <tableColumn id="95" xr3:uid="{00000000-0010-0000-0000-00005F000000}" name="6.3 Hỗ trợ dự kiến (choice=Tư vấn thêm)"/>
    <tableColumn id="96" xr3:uid="{00000000-0010-0000-0000-000060000000}" name="6.3 Hỗ trợ dự kiến (choice=Nhắc lịch)"/>
    <tableColumn id="97" xr3:uid="{00000000-0010-0000-0000-000061000000}" name="6.3 Hỗ trợ dự kiến (choice=Chuyển gửi lại)"/>
    <tableColumn id="98" xr3:uid="{00000000-0010-0000-0000-000062000000}" name="6.3 Hỗ trợ dự kiến (choice=Hỗ trợ xã hội)"/>
    <tableColumn id="99" xr3:uid="{00000000-0010-0000-0000-000063000000}" name="6.3 Hỗ trợ dự kiến (choice=Khác)"/>
    <tableColumn id="100" xr3:uid="{00000000-0010-0000-0000-000064000000}" name="6.3.1 Khác"/>
    <tableColumn id="101" xr3:uid="{00000000-0010-0000-0000-000065000000}" name="Complete?_10"/>
    <tableColumn id="102" xr3:uid="{00000000-0010-0000-0000-000066000000}" name="1.1 Ngày khám"/>
    <tableColumn id="103" xr3:uid="{00000000-0010-0000-0000-000067000000}" name="1.2 Cơ sở y tế"/>
    <tableColumn id="104" xr3:uid="{00000000-0010-0000-0000-000068000000}" name="1.3 Bác sỹ phụ trách"/>
    <tableColumn id="105" xr3:uid="{00000000-0010-0000-0000-000069000000}" name="2. Lần khám"/>
    <tableColumn id="106" xr3:uid="{00000000-0010-0000-0000-00006A000000}" name="2.1 Tái khám lần thứ"/>
    <tableColumn id="107" xr3:uid="{00000000-0010-0000-0000-00006B000000}" name="3.1 Triệu chứng chính"/>
    <tableColumn id="108" xr3:uid="{00000000-0010-0000-0000-00006C000000}" name="3.1.1 Khác"/>
    <tableColumn id="109" xr3:uid="{00000000-0010-0000-0000-00006D000000}" name="3.2.1 Chẩn đoán chính  "/>
    <tableColumn id="110" xr3:uid="{00000000-0010-0000-0000-00006E000000}" name="3.2.2 Chẩn đoán kèm theo (nếu có)  "/>
    <tableColumn id="111" xr3:uid="{00000000-0010-0000-0000-00006F000000}" name="3.3.1 Nguy cơ tự sát"/>
    <tableColumn id="112" xr3:uid="{00000000-0010-0000-0000-000070000000}" name="3.3.2 Nguy cơ gây hại cho người khác"/>
    <tableColumn id="113" xr3:uid="{00000000-0010-0000-0000-000071000000}" name="3.3.3 Cần theo dõi đặc biệt?"/>
    <tableColumn id="114" xr3:uid="{00000000-0010-0000-0000-000072000000}" name="3.3.3.1 Mô tả ngắn"/>
    <tableColumn id="115" xr3:uid="{00000000-0010-0000-0000-000073000000}" name="4.1 Hình thức điều trị (được lựa chọn nhiều hình thức, nhưng không thể vừa chọn nội trú và ngoại trú)   (choice=Ngoại trú)"/>
    <tableColumn id="116" xr3:uid="{00000000-0010-0000-0000-000074000000}" name="4.1 Hình thức điều trị (được lựa chọn nhiều hình thức, nhưng không thể vừa chọn nội trú và ngoại trú)   (choice=Nội trú)"/>
    <tableColumn id="117" xr3:uid="{00000000-0010-0000-0000-000075000000}" name="4.1 Hình thức điều trị (được lựa chọn nhiều hình thức, nhưng không thể vừa chọn nội trú và ngoại trú)   (choice=Tư vấn tâm lý)"/>
    <tableColumn id="118" xr3:uid="{00000000-0010-0000-0000-000076000000}" name="4.1 Hình thức điều trị (được lựa chọn nhiều hình thức, nhưng không thể vừa chọn nội trú và ngoại trú)   (choice=Khác)"/>
    <tableColumn id="119" xr3:uid="{00000000-0010-0000-0000-000077000000}" name="4.2 Điều trị thuốc"/>
    <tableColumn id="120" xr3:uid="{00000000-0010-0000-0000-000078000000}" name="4.2.1 Tên thuốc chính"/>
    <tableColumn id="121" xr3:uid="{00000000-0010-0000-0000-000079000000}" name="4.2.1 Tên thuốc chính   (có thể chọn nhiều phương án) (choice=Sertraline)"/>
    <tableColumn id="122" xr3:uid="{00000000-0010-0000-0000-00007A000000}" name="4.2.1 Tên thuốc chính   (có thể chọn nhiều phương án) (choice=Mirtazapine)"/>
    <tableColumn id="123" xr3:uid="{00000000-0010-0000-0000-00007B000000}" name="4.2.1 Tên thuốc chính   (có thể chọn nhiều phương án) (choice=Paroxetine)"/>
    <tableColumn id="124" xr3:uid="{00000000-0010-0000-0000-00007C000000}" name="4.2.1 Tên thuốc chính   (có thể chọn nhiều phương án) (choice=Citalopram)"/>
    <tableColumn id="125" xr3:uid="{00000000-0010-0000-0000-00007D000000}" name="4.2.1 Tên thuốc chính   (có thể chọn nhiều phương án) (choice=Escitalopram)"/>
    <tableColumn id="126" xr3:uid="{00000000-0010-0000-0000-00007E000000}" name="4.2.1 Tên thuốc chính   (có thể chọn nhiều phương án) (choice=Fluvoxamine)"/>
    <tableColumn id="127" xr3:uid="{00000000-0010-0000-0000-00007F000000}" name="4.2.1 Tên thuốc chính   (có thể chọn nhiều phương án) (choice=Fluoxetine)"/>
    <tableColumn id="128" xr3:uid="{00000000-0010-0000-0000-000080000000}" name="4.2.1 Tên thuốc chính   (có thể chọn nhiều phương án) (choice=Olanzapine)"/>
    <tableColumn id="129" xr3:uid="{00000000-0010-0000-0000-000081000000}" name="4.2.1 Tên thuốc chính   (có thể chọn nhiều phương án) (choice=Risperidone)"/>
    <tableColumn id="130" xr3:uid="{00000000-0010-0000-0000-000082000000}" name="4.2.1 Tên thuốc chính   (có thể chọn nhiều phương án) (choice=Quetiapine)"/>
    <tableColumn id="131" xr3:uid="{00000000-0010-0000-0000-000083000000}" name="4.2.1 Tên thuốc chính   (có thể chọn nhiều phương án) (choice=Aripiprazole)"/>
    <tableColumn id="132" xr3:uid="{00000000-0010-0000-0000-000084000000}" name="4.2.1 Tên thuốc chính   (có thể chọn nhiều phương án) (choice=Sulpirid)"/>
    <tableColumn id="133" xr3:uid="{00000000-0010-0000-0000-000085000000}" name="4.2.1 Tên thuốc chính   (có thể chọn nhiều phương án) (choice=Amisulpride)"/>
    <tableColumn id="134" xr3:uid="{00000000-0010-0000-0000-000086000000}" name="4.2.1 Tên thuốc chính   (có thể chọn nhiều phương án) (choice=Tofisopam)"/>
    <tableColumn id="135" xr3:uid="{00000000-0010-0000-0000-000087000000}" name="4.2.1 Tên thuốc chính   (có thể chọn nhiều phương án) (choice=Zopiclone)"/>
    <tableColumn id="136" xr3:uid="{00000000-0010-0000-0000-000088000000}" name="4.2.1 Tên thuốc chính   (có thể chọn nhiều phương án) (choice=Eszopiclone)"/>
    <tableColumn id="137" xr3:uid="{00000000-0010-0000-0000-000089000000}" name="4.2.1 Tên thuốc chính   (có thể chọn nhiều phương án) (choice=Haloperidol)"/>
    <tableColumn id="138" xr3:uid="{00000000-0010-0000-0000-00008A000000}" name="4.2.1 Tên thuốc chính   (có thể chọn nhiều phương án) (choice=Diazepam)"/>
    <tableColumn id="139" xr3:uid="{00000000-0010-0000-0000-00008B000000}" name="4.2.2 Hướng dẫn sử dụng"/>
    <tableColumn id="140" xr3:uid="{00000000-0010-0000-0000-00008C000000}" name="5. Khuyến nghị cho CBO/dự án (choice=Nhắc lịch tái khám)"/>
    <tableColumn id="141" xr3:uid="{00000000-0010-0000-0000-00008D000000}" name="5. Khuyến nghị cho CBO/dự án (choice=Hỗ trợ tuân thủ thuốc)"/>
    <tableColumn id="142" xr3:uid="{00000000-0010-0000-0000-00008E000000}" name="5. Khuyến nghị cho CBO/dự án (choice=Theo dõi dấu hiệu nguy cơ)"/>
    <tableColumn id="143" xr3:uid="{00000000-0010-0000-0000-00008F000000}" name="5. Khuyến nghị cho CBO/dự án (choice=Hỗ trợ tại cộng đồng (tư vấn tại nhóm, sinh hoạt nhóm ...))"/>
    <tableColumn id="144" xr3:uid="{00000000-0010-0000-0000-000090000000}" name="5. Khuyến nghị cho CBO/dự án (choice=Kết nối dịch vụ xã hội (nhà tạm lánh, BHYT, giới thiệu việc làm ...))"/>
    <tableColumn id="145" xr3:uid="{00000000-0010-0000-0000-000091000000}" name="5. Khuyến nghị cho CBO/dự án (choice=Khác)"/>
    <tableColumn id="146" xr3:uid="{00000000-0010-0000-0000-000092000000}" name="5.1 Khác"/>
    <tableColumn id="147" xr3:uid="{00000000-0010-0000-0000-000093000000}" name="6. Ngày hẹn tái khám"/>
    <tableColumn id="148" xr3:uid="{00000000-0010-0000-0000-000094000000}" name="7. Ghi chú của bác sỹ cho CBO/dự án"/>
    <tableColumn id="149" xr3:uid="{00000000-0010-0000-0000-000095000000}" name="Complete?_11"/>
    <tableColumn id="150" xr3:uid="{00000000-0010-0000-0000-000096000000}" name="Ngày tư vấn "/>
    <tableColumn id="151" xr3:uid="{00000000-0010-0000-0000-000097000000}" name="Địa điểm_12"/>
    <tableColumn id="152" xr3:uid="{00000000-0010-0000-0000-000098000000}" name="A1.1 – Trong 6 tháng qua, anh/chị uống đồ uống có cồn với tần suất như thế nào? (Một “đơn vị cồn” gồm: 1 lon/chai bia, 1 ly rượu vang, 1 ly cocktail hoặc 1 ly nhỏ rượu mạnh như scotch, whisky, rượu gạo, rượu trắng …)"/>
    <tableColumn id="153" xr3:uid="{00000000-0010-0000-0000-000099000000}" name="&amp;nbsp;A1.2 – Vào một ngày bình thường, bạn uống bao nhiêu đơn vị cồn?&amp;nbsp;&amp;nbsp;&amp;nbsp;"/>
    <tableColumn id="154" xr3:uid="{00000000-0010-0000-0000-00009A000000}" name="A1.3 – Tần suất bạn uống ≥5 đơn vị cồn trong một lần là bao nhiêu?&amp;nbsp;&amp;nbsp; &amp;nbsp;&amp;nbsp;&amp;nbsp;&amp;nbsp;"/>
    <tableColumn id="155" xr3:uid="{00000000-0010-0000-0000-00009B000000}" name="A2 – Trong 6 tháng qua, bạn có sử dụng ma túy không?"/>
    <tableColumn id="156" xr3:uid="{00000000-0010-0000-0000-00009C000000}" name="A3.1 Loại 1"/>
    <tableColumn id="157" xr3:uid="{00000000-0010-0000-0000-00009D000000}" name="A3.1.1 Khác"/>
    <tableColumn id="158" xr3:uid="{00000000-0010-0000-0000-00009E000000}" name="A3.1 Loại 2"/>
    <tableColumn id="159" xr3:uid="{00000000-0010-0000-0000-00009F000000}" name="A3.2.1 Khác"/>
    <tableColumn id="160" xr3:uid="{00000000-0010-0000-0000-0000A0000000}" name="A4 – Trong 6 tháng qua, bạn có tiêm chích ma túy không?"/>
    <tableColumn id="161" xr3:uid="{00000000-0010-0000-0000-0000A1000000}" name="A4.1 – Bạn có từng sử dụng kim tiêm/ống tiêm đã qua sử dụng bởi người khác không?"/>
    <tableColumn id="162" xr3:uid="{00000000-0010-0000-0000-0000A2000000}" name="A5 – Trong 6 tháng qua, bạn quan hệ tình dục với bao nhiêu người? (qua đường âm đạo, đường miệng và/hoặc đường hậu môn)"/>
    <tableColumn id="163" xr3:uid="{00000000-0010-0000-0000-0000A3000000}" name="A6 – Trong 6 tháng qua, bạn có quan hệ tình dục không an toàn với bạn tình có nguy cơ không? (bạn tình không thường xuyên/thường xuyên nhưng không rõ tình trạng HIV)"/>
    <tableColumn id="164" xr3:uid="{00000000-0010-0000-0000-0000A4000000}" name="A7 - Bạn đã từng xét nghiệm HIV bao nhiêu lần?&amp;nbsp;&amp;nbsp;"/>
    <tableColumn id="165" xr3:uid="{00000000-0010-0000-0000-0000A5000000}" name="A7 - Bạn đã từng xét nghiệm HCV bao nhiêu lần?&amp;nbsp;&amp;nbsp;"/>
    <tableColumn id="166" xr3:uid="{00000000-0010-0000-0000-0000A6000000}" name="A9 – Bạn đã từng đi sàng lọc lao bao nhiêu lần?&amp;nbsp;"/>
    <tableColumn id="167" xr3:uid="{00000000-0010-0000-0000-0000A7000000}" name="B1 – Bạn đã từng tiếp xúc với bác sĩ tâm thần hoặc chuyên gia sức khỏe tâm thần chưa?"/>
    <tableColumn id="168" xr3:uid="{00000000-0010-0000-0000-0000A8000000}" name="B2 – Bạn có nghĩ rằng hiện tại mình có thể đang gặp vấn đề về sức khỏe tâm thần không?"/>
    <tableColumn id="169" xr3:uid="{00000000-0010-0000-0000-0000A9000000}" name="B3 – Bạn có đồng ý đi đến cơ sở dịch vụ sức khỏe tâm thần nếu được nhận viên y tế hoặc nhân viên cộng đồng giới thiệu không?"/>
    <tableColumn id="170" xr3:uid="{00000000-0010-0000-0000-0000AA000000}" name="“Đôi khi trong cuộc sống xảy ra những sự kiện đặc biệt đáng sợ, kinh hoàng hoặc gây sang chấn. Ví dụ: một tai nạn nghiêm trọng hoặc hỏa hoạn, viêc bị tấn công hoặc lạm dụng thể chất hay tình dục, thiên tai động đất hoặc lũ lụt, chiến tranh, viêc chứng kiế"/>
    <tableColumn id="171" xr3:uid="{00000000-0010-0000-0000-0000AB000000}" name="C2 – Gặp ác mộng về sự kiện đó hoặc nghĩ đến sự kiện đó khi bạn không mong muốn?"/>
    <tableColumn id="172" xr3:uid="{00000000-0010-0000-0000-0000AC000000}" name="C3 – Cố gắng hết sức để tránh nghĩ về sự kiện đó hoặc tránh những tình huống gợi nhớ đến sự kiện?&amp;nbsp;&amp;nbsp;&amp;nbsp;&amp;nbsp;&amp;nbsp;&amp;nbsp;&amp;nbsp;&amp;nbsp;&amp;nbsp;&amp;nbsp;&amp;nbsp;&amp;nbsp;&amp;nbsp;"/>
    <tableColumn id="173" xr3:uid="{00000000-0010-0000-0000-0000AD000000}" name="C4 – Luôn trong trạng thái cảnh giác cao độ, đề phòng hoặc dễ giật mình?"/>
    <tableColumn id="174" xr3:uid="{00000000-0010-0000-0000-0000AE000000}" name="C5 – Cảm thấy tê liệt cảm xúc hoặc xa cách với người khác, các hoạt động hoặc môi trường xung quanh?"/>
    <tableColumn id="175" xr3:uid="{00000000-0010-0000-0000-0000AF000000}" name="C6 – Cảm thấy tội lỗi hoặc không thể ngừng tự trách bản thân hoặc người khác về sự kiện đó hoặc những hậu quả mà sự kiện có thể gây ra?"/>
    <tableColumn id="176" xr3:uid="{00000000-0010-0000-0000-0000B0000000}" name="Điểm"/>
    <tableColumn id="177" xr3:uid="{00000000-0010-0000-0000-0000B1000000}" name="1._x0009_Nếu có cơ hội để không bị coi là [f1_q_a4], tôi sẽ lựa chọn điều đó"/>
    <tableColumn id="178" xr3:uid="{00000000-0010-0000-0000-0000B2000000}" name="2._x0009_Tôi cảm thấy tự hào về bản thân dù mình là [f1_q_a4]"/>
    <tableColumn id="179" xr3:uid="{00000000-0010-0000-0000-0000B3000000}" name="3._x0009_Tôi nghĩ những người không phải là [f1_q_a4] giỏi hơn tôi ở nhiều mặt"/>
    <tableColumn id="180" xr3:uid="{00000000-0010-0000-0000-0000B4000000}" name="4._x0009_Tôi cảm thấy [f1_q_a4] không có nhiều điều đáng để tự hào"/>
    <tableColumn id="181" xr3:uid="{00000000-0010-0000-0000-0000B5000000}" name="5._x0009_Tôi nghĩ [f1_q_a4] phải chịu trách nhiệm cho cách xã hội nhìn nhận tiêu cực về họ"/>
    <tableColumn id="182" xr3:uid="{00000000-0010-0000-0000-0000B6000000}" name="3a. Tình trạng sức khỏe tâm thần hiện tại (choice=Lo âu)"/>
    <tableColumn id="183" xr3:uid="{00000000-0010-0000-0000-0000B7000000}" name="3a. Tình trạng sức khỏe tâm thần hiện tại (choice=Căng thẳng)"/>
    <tableColumn id="184" xr3:uid="{00000000-0010-0000-0000-0000B8000000}" name="3a. Tình trạng sức khỏe tâm thần hiện tại (choice=Trầm cảm)"/>
    <tableColumn id="185" xr3:uid="{00000000-0010-0000-0000-0000B9000000}" name="3a. Tình trạng sức khỏe tâm thần hiện tại (choice=Mất ngủ)"/>
    <tableColumn id="186" xr3:uid="{00000000-0010-0000-0000-0000BA000000}" name="3a. Tình trạng sức khỏe tâm thần hiện tại (choice=Khác)"/>
    <tableColumn id="187" xr3:uid="{00000000-0010-0000-0000-0000BB000000}" name="3a.1 Khác"/>
    <tableColumn id="188" xr3:uid="{00000000-0010-0000-0000-0000BC000000}" name="3b. Các yếu tố liên quan (choice=Sử dụng chất)"/>
    <tableColumn id="189" xr3:uid="{00000000-0010-0000-0000-0000BD000000}" name="3b. Các yếu tố liên quan (choice=HIV / bệnh mãn tính)"/>
    <tableColumn id="190" xr3:uid="{00000000-0010-0000-0000-0000BE000000}" name="3b. Các yếu tố liên quan (choice=Hormone)"/>
    <tableColumn id="191" xr3:uid="{00000000-0010-0000-0000-0000BF000000}" name="3b. Các yếu tố liên quan (choice=Bạo lực / sang chấn)"/>
    <tableColumn id="192" xr3:uid="{00000000-0010-0000-0000-0000C0000000}" name="3b. Các yếu tố liên quan (choice=Kỳ thị)"/>
    <tableColumn id="193" xr3:uid="{00000000-0010-0000-0000-0000C1000000}" name="3b. Các yếu tố liên quan (choice=Khác)"/>
    <tableColumn id="194" xr3:uid="{00000000-0010-0000-0000-0000C2000000}" name="3b.1 Khác"/>
    <tableColumn id="195" xr3:uid="{00000000-0010-0000-0000-0000C3000000}" name="3c. Nhu cầu hỗ trợ chính (KH tự xác định)"/>
    <tableColumn id="196" xr3:uid="{00000000-0010-0000-0000-0000C4000000}" name="4.1. Các can thiệp đã được giới thiệu (choice=Tư vấn cá nhân (1-1))"/>
    <tableColumn id="197" xr3:uid="{00000000-0010-0000-0000-0000C5000000}" name="4.1. Các can thiệp đã được giới thiệu (choice=Sinh hoạt nhóm)"/>
    <tableColumn id="198" xr3:uid="{00000000-0010-0000-0000-0000C6000000}" name="4.1. Các can thiệp đã được giới thiệu (choice=Can thiệp chữa lành (sang chấn))"/>
    <tableColumn id="199" xr3:uid="{00000000-0010-0000-0000-0000C7000000}" name="4.1. Các can thiệp đã được giới thiệu (choice=Ứng dụng Intellect (trực tuyến))"/>
    <tableColumn id="200" xr3:uid="{00000000-0010-0000-0000-0000C8000000}" name="4.1. Các can thiệp đã được giới thiệu (choice=Chuyển gửi đến cơ sở chăm sóc SKTT)"/>
    <tableColumn id="201" xr3:uid="{00000000-0010-0000-0000-0000C9000000}" name="4.2. Nhu cầu tham gia của khách hàng (có thể chọn nhiều đáp án) (choice=Tư vấn cá nhân)"/>
    <tableColumn id="202" xr3:uid="{00000000-0010-0000-0000-0000CA000000}" name="4.2. Nhu cầu tham gia của khách hàng (có thể chọn nhiều đáp án) (choice=Sinh hoạt nhóm)"/>
    <tableColumn id="203" xr3:uid="{00000000-0010-0000-0000-0000CB000000}" name="4.2. Nhu cầu tham gia của khách hàng (có thể chọn nhiều đáp án) (choice=Can thiệp chữa lành)"/>
    <tableColumn id="204" xr3:uid="{00000000-0010-0000-0000-0000CC000000}" name="4.2. Nhu cầu tham gia của khách hàng (có thể chọn nhiều đáp án) (choice=Dùng ứng dụng Intellect)"/>
    <tableColumn id="205" xr3:uid="{00000000-0010-0000-0000-0000CD000000}" name="4.2. Nhu cầu tham gia của khách hàng (có thể chọn nhiều đáp án) (choice=Chuyển gửi đến cơ sở chăm sóc SKTT)"/>
    <tableColumn id="206" xr3:uid="{00000000-0010-0000-0000-0000CE000000}" name="4.2. Nhu cầu tham gia của khách hàng (có thể chọn nhiều đáp án) (choice=Khác)"/>
    <tableColumn id="207" xr3:uid="{00000000-0010-0000-0000-0000CF000000}" name="4.2.1 Khác"/>
    <tableColumn id="208" xr3:uid="{00000000-0010-0000-0000-0000D0000000}" name="6.1 Ngày hẹn tiếp theo"/>
    <tableColumn id="209" xr3:uid="{00000000-0010-0000-0000-0000D1000000}" name="Complete?_13"/>
    <tableColumn id="210" xr3:uid="{00000000-0010-0000-0000-0000D2000000}" name="Ngày tư vấn"/>
    <tableColumn id="211" xr3:uid="{00000000-0010-0000-0000-0000D3000000}" name="Địa điểm_14"/>
    <tableColumn id="212" xr3:uid="{00000000-0010-0000-0000-0000D4000000}" name="2.1.a Dạo gần đây KH cảm thấy:"/>
    <tableColumn id="213" xr3:uid="{00000000-0010-0000-0000-0000D5000000}" name="2.1.a.1 Khác"/>
    <tableColumn id="214" xr3:uid="{00000000-0010-0000-0000-0000D6000000}" name="2.1.b KH chia sẻ ngắn (nếu có)"/>
    <tableColumn id="215" xr3:uid="{00000000-0010-0000-0000-0000D7000000}" name="2.2. Vấn đề KH muốn tập trung "/>
    <tableColumn id="216" xr3:uid="{00000000-0010-0000-0000-0000D8000000}" name="3.1.a Nhận diện cảm xúc (choice=Thang đo mức độ)"/>
    <tableColumn id="217" xr3:uid="{00000000-0010-0000-0000-0000D9000000}" name="3.1.a Nhận diện cảm xúc (choice=Bánh xe cảm xúc)"/>
    <tableColumn id="218" xr3:uid="{00000000-0010-0000-0000-0000DA000000}" name="3.1.a Nhận diện cảm xúc (choice=Không cung cấp can thiệp nào)"/>
    <tableColumn id="219" xr3:uid="{00000000-0010-0000-0000-0000DB000000}" name="3.1.b Quản lý căng thẳng (ngắn hạn)     (choice=Tự làm dịu)"/>
    <tableColumn id="220" xr3:uid="{00000000-0010-0000-0000-0000DC000000}" name="3.1.b Quản lý căng thẳng (ngắn hạn)     (choice=Tiếp đất)"/>
    <tableColumn id="221" xr3:uid="{00000000-0010-0000-0000-0000DD000000}" name="3.1.b Quản lý căng thẳng (ngắn hạn)     (choice=Không cung cấp can thiệp nào)"/>
    <tableColumn id="222" xr3:uid="{00000000-0010-0000-0000-0000DE000000}" name="3.1.c. Quản lý căng thẳng (dài hạn) (choice=Thiền / chánh niệm)"/>
    <tableColumn id="223" xr3:uid="{00000000-0010-0000-0000-0000DF000000}" name="3.1.c. Quản lý căng thẳng (dài hạn) (choice=10 nhu cầu dài hạn)"/>
    <tableColumn id="224" xr3:uid="{00000000-0010-0000-0000-0000E0000000}" name="3.1.c. Quản lý căng thẳng (dài hạn) (choice=Tái định hình nhận thức)"/>
    <tableColumn id="225" xr3:uid="{00000000-0010-0000-0000-0000E1000000}" name="3.1.c. Quản lý căng thẳng (dài hạn) (choice=Không cung cấp can thiệp nào)"/>
    <tableColumn id="226" xr3:uid="{00000000-0010-0000-0000-0000E2000000}" name="3.1.d. Thói quen sinh hoạt (choice=Ăn - Uống - Ngủ - Lặp lại)"/>
    <tableColumn id="227" xr3:uid="{00000000-0010-0000-0000-0000E3000000}" name="3.1.d. Thói quen sinh hoạt (choice=Tập thể dục)"/>
    <tableColumn id="228" xr3:uid="{00000000-0010-0000-0000-0000E4000000}" name="3.1.d. Thói quen sinh hoạt (choice=Không cung cấp can thiệp nào)"/>
    <tableColumn id="229" xr3:uid="{00000000-0010-0000-0000-0000E5000000}" name="3.1.e. Nội dung khác (choice=Sử dụng chất &amp; SKTT)"/>
    <tableColumn id="230" xr3:uid="{00000000-0010-0000-0000-0000E6000000}" name="3.1.e. Nội dung khác (choice=HIV / Lao / HCV)"/>
    <tableColumn id="231" xr3:uid="{00000000-0010-0000-0000-0000E7000000}" name="3.1.e. Nội dung khác (choice=Methadone)"/>
    <tableColumn id="232" xr3:uid="{00000000-0010-0000-0000-0000E8000000}" name="3.1.e. Nội dung khác (choice=STIs[HV1.1][NMT1.2])"/>
    <tableColumn id="233" xr3:uid="{00000000-0010-0000-0000-0000E9000000}" name="3.1.e. Nội dung khác (choice=Sức khỏe sinh sản &amp; tình dục)"/>
    <tableColumn id="234" xr3:uid="{00000000-0010-0000-0000-0000EA000000}" name="3.1.e. Nội dung khác (choice=Khác)"/>
    <tableColumn id="235" xr3:uid="{00000000-0010-0000-0000-0000EB000000}" name="3.1.e. Nội dung khác (choice=Không cung cấp can thiệp nào)"/>
    <tableColumn id="236" xr3:uid="{00000000-0010-0000-0000-0000EC000000}" name="3.1.e.1 Khác"/>
    <tableColumn id="237" xr3:uid="{00000000-0010-0000-0000-0000ED000000}" name="3.2. Nội dung can thiệp chính (ghi ngắn)"/>
    <tableColumn id="238" xr3:uid="{00000000-0010-0000-0000-0000EE000000}" name="4.1. Can thiệp KH đồng ý áp dụng"/>
    <tableColumn id="239" xr3:uid="{00000000-0010-0000-0000-0000EF000000}" name="4.2.1 Việc sẽ làm"/>
    <tableColumn id="240" xr3:uid="{00000000-0010-0000-0000-0000F0000000}" name="4.2.2 Tần suất"/>
    <tableColumn id="241" xr3:uid="{00000000-0010-0000-0000-0000F1000000}" name="4.2.3 Thời gian bắt đầu"/>
    <tableColumn id="242" xr3:uid="{00000000-0010-0000-0000-0000F2000000}" name="4.3 Khó khăn dự kiến"/>
    <tableColumn id="243" xr3:uid="{00000000-0010-0000-0000-0000F3000000}" name="5. HỖ TRỢ BỔ SUNG (NẾU CẦN) (choice=Chuyển gửi cơ sở y tế)"/>
    <tableColumn id="244" xr3:uid="{00000000-0010-0000-0000-0000F4000000}" name="5. HỖ TRỢ BỔ SUNG (NẾU CẦN) (choice=Hỗ trợ xã hội)"/>
    <tableColumn id="245" xr3:uid="{00000000-0010-0000-0000-0000F5000000}" name="5. HỖ TRỢ BỔ SUNG (NẾU CẦN) (choice=Kết nối dịch vụ khác)"/>
    <tableColumn id="246" xr3:uid="{00000000-0010-0000-0000-0000F6000000}" name="5. HỖ TRỢ BỔ SUNG (NẾU CẦN) (choice=Khác)"/>
    <tableColumn id="247" xr3:uid="{00000000-0010-0000-0000-0000F7000000}" name="5.1 Khác_15"/>
    <tableColumn id="248" xr3:uid="{00000000-0010-0000-0000-0000F8000000}" name="6.1 Ngày hẹn"/>
    <tableColumn id="249" xr3:uid="{00000000-0010-0000-0000-0000F9000000}" name="6.2 Hình thức"/>
    <tableColumn id="250" xr3:uid="{00000000-0010-0000-0000-0000FA000000}" name="Complete?_16"/>
    <tableColumn id="251" xr3:uid="{00000000-0010-0000-0000-0000FB000000}" name="Ngày theo dấu"/>
    <tableColumn id="252" xr3:uid="{00000000-0010-0000-0000-0000FC000000}" name="Hình thức liên hệ (choice=Gặp trực tiếp)"/>
    <tableColumn id="253" xr3:uid="{00000000-0010-0000-0000-0000FD000000}" name="Hình thức liên hệ (choice=Gọi điện)"/>
    <tableColumn id="254" xr3:uid="{00000000-0010-0000-0000-0000FE000000}" name="Hình thức liên hệ (choice=Nhắn tin)"/>
    <tableColumn id="255" xr3:uid="{00000000-0010-0000-0000-0000FF000000}" name="Hình thức liên hệ (choice=Online trên app)"/>
    <tableColumn id="256" xr3:uid="{00000000-0010-0000-0000-000000010000}" name="Hình thức liên hệ (choice=Khác)"/>
    <tableColumn id="257" xr3:uid="{00000000-0010-0000-0000-000001010000}" name="Khác_17"/>
    <tableColumn id="258" xr3:uid="{00000000-0010-0000-0000-000002010000}" name="2. Tình trạng liên lạc"/>
    <tableColumn id="259" xr3:uid="{00000000-0010-0000-0000-000003010000}" name="2.1 Số lần đã liên hệ"/>
    <tableColumn id="260" xr3:uid="{00000000-0010-0000-0000-000004010000}" name="2.2 Thời gian bắt đầu mất liên lạc"/>
    <tableColumn id="261" xr3:uid="{00000000-0010-0000-0000-000005010000}" name="3. KHÁCH HÀNG MẤT DẤU  Khách hàng được xác định là mất dấu khi:  - Không thể liên lạc được sau 03 tháng liên tiếp kể từ lần liên hệ cuối cùng   - Đã thực hiện tối thiểu 03 lần liên hệ lại (gọi điện/nhắn tin/gặp trực tiếp) nhưng không thành công      (choi"/>
    <tableColumn id="262" xr3:uid="{00000000-0010-0000-0000-000006010000}" name="Complete?_18"/>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zoomScaleNormal="100" workbookViewId="0">
      <selection activeCell="C14" sqref="C14"/>
    </sheetView>
  </sheetViews>
  <sheetFormatPr defaultColWidth="8.59765625" defaultRowHeight="13.8" x14ac:dyDescent="0.25"/>
  <cols>
    <col min="1" max="1" width="4.19921875" style="7" customWidth="1"/>
    <col min="2" max="3" width="30.69921875" customWidth="1"/>
    <col min="4" max="4" width="36.19921875" customWidth="1"/>
    <col min="5" max="5" width="51" customWidth="1"/>
  </cols>
  <sheetData>
    <row r="1" spans="1:5" ht="15" customHeight="1" x14ac:dyDescent="0.25">
      <c r="B1" s="8" t="s">
        <v>0</v>
      </c>
    </row>
    <row r="3" spans="1:5" ht="14.25" customHeight="1" x14ac:dyDescent="0.25">
      <c r="A3" s="101" t="s">
        <v>1</v>
      </c>
      <c r="B3" s="101" t="s">
        <v>2</v>
      </c>
      <c r="C3" s="101" t="s">
        <v>3</v>
      </c>
      <c r="D3" s="101" t="s">
        <v>4</v>
      </c>
    </row>
    <row r="4" spans="1:5" ht="14.25" customHeight="1" x14ac:dyDescent="0.25">
      <c r="A4" s="101"/>
      <c r="B4" s="101"/>
      <c r="C4" s="101"/>
      <c r="D4" s="101"/>
    </row>
    <row r="5" spans="1:5" ht="14.25" customHeight="1" x14ac:dyDescent="0.25">
      <c r="A5" s="102">
        <v>1</v>
      </c>
      <c r="B5" s="103" t="s">
        <v>5</v>
      </c>
      <c r="C5" s="9" t="s">
        <v>6</v>
      </c>
      <c r="D5" s="9" t="s">
        <v>7</v>
      </c>
    </row>
    <row r="6" spans="1:5" ht="14.25" customHeight="1" x14ac:dyDescent="0.25">
      <c r="A6" s="102"/>
      <c r="B6" s="102"/>
      <c r="C6" s="9" t="s">
        <v>8</v>
      </c>
      <c r="D6" s="9" t="s">
        <v>9</v>
      </c>
      <c r="E6" s="10"/>
    </row>
    <row r="7" spans="1:5" ht="14.25" customHeight="1" x14ac:dyDescent="0.25">
      <c r="A7" s="102"/>
      <c r="B7" s="102"/>
      <c r="C7" s="9" t="s">
        <v>10</v>
      </c>
      <c r="D7" s="9" t="s">
        <v>11</v>
      </c>
    </row>
    <row r="8" spans="1:5" ht="14.25" customHeight="1" x14ac:dyDescent="0.25">
      <c r="A8" s="11">
        <v>2</v>
      </c>
      <c r="B8" s="9" t="s">
        <v>12</v>
      </c>
      <c r="C8" s="9" t="s">
        <v>13</v>
      </c>
      <c r="D8" s="9" t="s">
        <v>14</v>
      </c>
    </row>
    <row r="9" spans="1:5" ht="14.25" customHeight="1" x14ac:dyDescent="0.25">
      <c r="A9" s="11"/>
      <c r="B9" s="9"/>
      <c r="C9" s="9"/>
      <c r="D9" s="9"/>
    </row>
    <row r="10" spans="1:5" ht="14.25" customHeight="1" x14ac:dyDescent="0.25">
      <c r="A10" s="11"/>
      <c r="B10" s="9"/>
      <c r="C10" s="9"/>
      <c r="D10" s="9"/>
    </row>
    <row r="11" spans="1:5" ht="14.25" customHeight="1" x14ac:dyDescent="0.25">
      <c r="A11" s="11"/>
      <c r="B11" s="9"/>
      <c r="C11" s="9"/>
      <c r="D11" s="9"/>
    </row>
    <row r="12" spans="1:5" ht="14.25" customHeight="1" x14ac:dyDescent="0.25">
      <c r="A12" s="11"/>
      <c r="B12" s="9"/>
      <c r="C12" s="9"/>
      <c r="D12" s="9"/>
    </row>
    <row r="13" spans="1:5" ht="14.25" customHeight="1" x14ac:dyDescent="0.25">
      <c r="A13" s="11"/>
      <c r="B13" s="9"/>
      <c r="C13" s="9"/>
      <c r="D13" s="9"/>
    </row>
    <row r="14" spans="1:5" ht="14.25" customHeight="1" x14ac:dyDescent="0.25">
      <c r="A14" s="11"/>
      <c r="B14" s="9"/>
      <c r="C14" s="9"/>
      <c r="D14" s="9"/>
    </row>
  </sheetData>
  <mergeCells count="6">
    <mergeCell ref="A3:A4"/>
    <mergeCell ref="B3:B4"/>
    <mergeCell ref="C3:C4"/>
    <mergeCell ref="D3:D4"/>
    <mergeCell ref="A5:A7"/>
    <mergeCell ref="B5:B7"/>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56"/>
  <sheetViews>
    <sheetView zoomScale="80" zoomScaleNormal="80" workbookViewId="0">
      <pane ySplit="4" topLeftCell="A5" activePane="bottomLeft" state="frozen"/>
      <selection pane="bottomLeft" activeCell="F37" sqref="F37"/>
    </sheetView>
  </sheetViews>
  <sheetFormatPr defaultColWidth="8.59765625" defaultRowHeight="13.8" x14ac:dyDescent="0.25"/>
  <cols>
    <col min="3" max="3" width="47" customWidth="1"/>
    <col min="4" max="4" width="30.69921875" customWidth="1"/>
    <col min="5" max="5" width="10.09765625" style="7" customWidth="1"/>
    <col min="6" max="10" width="8.8984375" style="7" customWidth="1"/>
    <col min="11" max="11" width="9" style="12" customWidth="1"/>
    <col min="12" max="14" width="6.3984375" style="12" customWidth="1"/>
    <col min="15" max="15" width="45.3984375" style="12" customWidth="1"/>
    <col min="16" max="16" width="72.19921875" customWidth="1"/>
  </cols>
  <sheetData>
    <row r="2" spans="2:16" ht="18" customHeight="1" x14ac:dyDescent="0.3">
      <c r="B2" s="13"/>
      <c r="C2" s="14" t="s">
        <v>15</v>
      </c>
      <c r="D2" s="15"/>
      <c r="E2" s="15"/>
      <c r="F2" s="15"/>
      <c r="G2" s="15"/>
      <c r="H2" s="15"/>
      <c r="I2" s="16"/>
      <c r="J2" s="16"/>
      <c r="K2" s="17"/>
      <c r="L2" s="17"/>
      <c r="M2" s="17"/>
      <c r="N2" s="17"/>
      <c r="O2" s="17"/>
    </row>
    <row r="3" spans="2:16" ht="18.75" customHeight="1" x14ac:dyDescent="0.3">
      <c r="B3" s="13"/>
      <c r="C3" s="18" t="s">
        <v>16</v>
      </c>
      <c r="D3" s="18"/>
      <c r="E3" s="19"/>
      <c r="F3" s="96" t="s">
        <v>17</v>
      </c>
      <c r="G3" s="96"/>
      <c r="H3" s="96"/>
      <c r="I3" s="96"/>
      <c r="J3" s="96"/>
      <c r="K3" s="97" t="s">
        <v>2</v>
      </c>
      <c r="L3" s="97"/>
      <c r="M3" s="97"/>
      <c r="N3" s="97"/>
      <c r="O3" s="17"/>
    </row>
    <row r="4" spans="2:16" ht="29.25" customHeight="1" x14ac:dyDescent="0.25">
      <c r="B4" s="20" t="s">
        <v>18</v>
      </c>
      <c r="C4" s="98" t="s">
        <v>19</v>
      </c>
      <c r="D4" s="98"/>
      <c r="E4" s="5" t="s">
        <v>20</v>
      </c>
      <c r="F4" s="21" t="s">
        <v>21</v>
      </c>
      <c r="G4" s="21" t="s">
        <v>22</v>
      </c>
      <c r="H4" s="21" t="s">
        <v>23</v>
      </c>
      <c r="I4" s="22" t="s">
        <v>24</v>
      </c>
      <c r="J4" s="22" t="s">
        <v>25</v>
      </c>
      <c r="K4" s="23" t="s">
        <v>26</v>
      </c>
      <c r="L4" s="23" t="s">
        <v>27</v>
      </c>
      <c r="M4" s="23" t="s">
        <v>28</v>
      </c>
      <c r="N4" s="23" t="s">
        <v>29</v>
      </c>
      <c r="O4" s="24" t="s">
        <v>30</v>
      </c>
      <c r="P4" s="25" t="s">
        <v>31</v>
      </c>
    </row>
    <row r="5" spans="2:16" ht="33.75" customHeight="1" x14ac:dyDescent="0.25">
      <c r="B5" s="26" t="s">
        <v>32</v>
      </c>
      <c r="C5" s="99" t="s">
        <v>33</v>
      </c>
      <c r="D5" s="99"/>
      <c r="E5" s="27"/>
      <c r="F5" s="27"/>
      <c r="G5" s="27"/>
      <c r="H5" s="27"/>
      <c r="I5" s="28"/>
      <c r="J5" s="28"/>
      <c r="K5" s="29"/>
      <c r="L5" s="29"/>
      <c r="M5" s="29"/>
      <c r="N5" s="29"/>
      <c r="O5" s="30"/>
      <c r="P5" s="31"/>
    </row>
    <row r="6" spans="2:16" ht="33" customHeight="1" x14ac:dyDescent="0.25">
      <c r="B6" s="20">
        <v>1</v>
      </c>
      <c r="C6" s="100" t="s">
        <v>34</v>
      </c>
      <c r="D6" s="100"/>
      <c r="E6" s="75" cm="1">
        <f t="array" ref="E6">SUMPRODUCT((DREAMH!$D$2:$D$766="Về nhà")*(DREAMH!$B$2:$B$766=""))</f>
        <v>153</v>
      </c>
      <c r="F6" s="75" cm="1">
        <f t="array" ref="F6">SUMPRODUCT((DREAMH!$D$2:$D$766="Về nhà")*(DREAMH!$B$2:$B$766="")*(INDEX(DREAMH!$K$2:$K$766,MATCH(DREAMH!$A$2:$A$766,DREAMH!$A$2:$A$766,0))="Người sử dụng ma túy (PUD)"))</f>
        <v>77</v>
      </c>
      <c r="G6" s="75" cm="1">
        <f t="array" ref="G6">SUMPRODUCT((DREAMH!$D$2:$D$766="Về nhà")*(DREAMH!$B$2:$B$766="")*(INDEX(DREAMH!$K$2:$K$766,MATCH(DREAMH!$A$2:$A$766,DREAMH!$A$2:$A$766,0))="Người sống chung với HIV (PLHIV)"))</f>
        <v>46</v>
      </c>
      <c r="H6" s="75" cm="1">
        <f t="array" ref="H6">SUMPRODUCT((DREAMH!$D$2:$D$766="Về nhà")*(DREAMH!$B$2:$B$766="")*(INDEX(DREAMH!$K$2:$K$766,MATCH(DREAMH!$A$2:$A$766,DREAMH!$A$2:$A$766,0))="Người chuyển giới (TG)"))</f>
        <v>0</v>
      </c>
      <c r="I6" s="76" cm="1">
        <f t="array" ref="I6">SUMPRODUCT((DREAMH!$D$2:$D$766="Về nhà")*(DREAMH!$B$2:$B$766="")*(INDEX(DREAMH!$K$2:$K$766,MATCH(DREAMH!$A$2:$A$766,DREAMH!$A$2:$A$766,0))="Người bán dâm (SW)"))</f>
        <v>29</v>
      </c>
      <c r="J6" s="76" cm="1">
        <f t="array" ref="J6">SUMPRODUCT((DREAMH!$D$2:$D$766="Về nhà")*(DREAMH!$B$2:$B$766="")*(INDEX(DREAMH!$K$2:$K$766,MATCH(DREAMH!$A$2:$A$766,DREAMH!$A$2:$A$766,0))="Nam quan hệ tình dục đồng giới (MSM)"))</f>
        <v>1</v>
      </c>
      <c r="K6" s="32"/>
      <c r="L6" s="32" t="s">
        <v>35</v>
      </c>
      <c r="M6" s="32" t="s">
        <v>35</v>
      </c>
      <c r="N6" s="32" t="s">
        <v>35</v>
      </c>
      <c r="O6" s="33" t="s">
        <v>36</v>
      </c>
      <c r="P6" s="31"/>
    </row>
    <row r="7" spans="2:16" ht="34.5" customHeight="1" x14ac:dyDescent="0.25">
      <c r="B7" s="20">
        <v>2</v>
      </c>
      <c r="C7" s="93" t="s">
        <v>37</v>
      </c>
      <c r="D7" s="93"/>
      <c r="E7" s="75" cm="1">
        <f t="array" ref="E7">SUMPRODUCT((DREAMH!$D$2:$D$766="Về nhà")*(DREAMH!$B$2:$B$766=""))</f>
        <v>153</v>
      </c>
      <c r="F7" s="75" cm="1">
        <f t="array" ref="F7">SUMPRODUCT((DREAMH!$D$2:$D$766="Về nhà")*(DREAMH!$B$2:$B$766="")*(INDEX(DREAMH!$K$2:$K$766,MATCH(DREAMH!$A$2:$A$766,DREAMH!$A$2:$A$766,0))="Người sử dụng ma túy (PUD)"))</f>
        <v>77</v>
      </c>
      <c r="G7" s="75" cm="1">
        <f t="array" ref="G7">SUMPRODUCT((DREAMH!$D$2:$D$766="Về nhà")*(DREAMH!$B$2:$B$766="")*(INDEX(DREAMH!$K$2:$K$766,MATCH(DREAMH!$A$2:$A$766,DREAMH!$A$2:$A$766,0))="Người sống chung với HIV (PLHIV)"))</f>
        <v>46</v>
      </c>
      <c r="H7" s="75" cm="1">
        <f t="array" ref="H7">SUMPRODUCT((DREAMH!$D$2:$D$766="Về nhà")*(DREAMH!$B$2:$B$766="")*(INDEX(DREAMH!$K$2:$K$766,MATCH(DREAMH!$A$2:$A$766,DREAMH!$A$2:$A$766,0))="Người chuyển giới (TG)"))</f>
        <v>0</v>
      </c>
      <c r="I7" s="76" cm="1">
        <f t="array" ref="I7">SUMPRODUCT((DREAMH!$D$2:$D$766="Về nhà")*(DREAMH!$B$2:$B$766="")*(INDEX(DREAMH!$K$2:$K$766,MATCH(DREAMH!$A$2:$A$766,DREAMH!$A$2:$A$766,0))="Người bán dâm (SW)"))</f>
        <v>29</v>
      </c>
      <c r="J7" s="76" cm="1">
        <f t="array" ref="J7">SUMPRODUCT((DREAMH!$D$2:$D$766="Về nhà")*(DREAMH!$B$2:$B$766="")*(INDEX(DREAMH!$K$2:$K$766,MATCH(DREAMH!$A$2:$A$766,DREAMH!$A$2:$A$766,0))="Nam quan hệ tình dục đồng giới (MSM)"))</f>
        <v>1</v>
      </c>
      <c r="K7" s="32" t="s">
        <v>35</v>
      </c>
      <c r="L7" s="32" t="s">
        <v>35</v>
      </c>
      <c r="M7" s="32" t="s">
        <v>35</v>
      </c>
      <c r="N7" s="32" t="s">
        <v>35</v>
      </c>
      <c r="O7" s="33" t="s">
        <v>36</v>
      </c>
      <c r="P7" s="31"/>
    </row>
    <row r="8" spans="2:16" ht="18" customHeight="1" x14ac:dyDescent="0.25">
      <c r="B8" s="20">
        <v>3</v>
      </c>
      <c r="C8" s="93" t="s">
        <v>38</v>
      </c>
      <c r="D8" s="93"/>
      <c r="E8" s="77" cm="1">
        <f t="array" ref="E8">SUMPRODUCT((DREAMH!$D$2:$D$766="Về nhà")*(DREAMH!$B$2:$B$766="F9. Theo dấu khách hàng")*(DREAMH!$JA$2:$JA$766="Chọn"))</f>
        <v>0</v>
      </c>
      <c r="F8" s="77" cm="1">
        <f t="array" ref="F8">SUMPRODUCT((DREAMH!$D$2:$D$766="Về nhà")*(DREAMH!$B$2:$B$766="F9. Theo dấu khách hàng")*(DREAMH!$JA$2:$JA$766="Chọn")*(INDEX(DREAMH!$K$2:$K$766,MATCH(DREAMH!$A$2:$A$766,DREAMH!$A$2:$A$766,0))="Người sử dụng ma túy (PUD)"))</f>
        <v>0</v>
      </c>
      <c r="G8" s="77" cm="1">
        <f t="array" ref="G8">SUMPRODUCT((DREAMH!$D$2:$D$766="Về nhà")*(DREAMH!$B$2:$B$766="F9. Theo dấu khách hàng")*(DREAMH!$JA$2:$JA$766="Chọn")*(INDEX(DREAMH!$K$2:$K$766,MATCH(DREAMH!$A$2:$A$766,DREAMH!$A$2:$A$766,0))="Người sống chung với HIV (PLHIV)"))</f>
        <v>0</v>
      </c>
      <c r="H8" s="77" cm="1">
        <f t="array" ref="H8">SUMPRODUCT((DREAMH!$D$2:$D$766="Về nhà")*(DREAMH!$B$2:$B$766="F9. Theo dấu khách hàng")*(DREAMH!$JA$2:$JA$766="Chọn")*(INDEX(DREAMH!$K$2:$K$766,MATCH(DREAMH!$A$2:$A$766,DREAMH!$A$2:$A$766,0))="Người chuyển giới (TG)"))</f>
        <v>0</v>
      </c>
      <c r="I8" s="78" cm="1">
        <f t="array" ref="I8">SUMPRODUCT((DREAMH!$D$2:$D$766="Về nhà")*(DREAMH!$B$2:$B$766="F9. Theo dấu khách hàng")*(DREAMH!$JA$2:$JA$766="Chọn")*(INDEX(DREAMH!$K$2:$K$766,MATCH(DREAMH!$A$2:$A$766,DREAMH!$A$2:$A$766,0))="Người bán dâm (SW)"))</f>
        <v>0</v>
      </c>
      <c r="J8" s="78" cm="1">
        <f t="array" ref="J8">SUMPRODUCT((DREAMH!$D$2:$D$766="Về nhà")*(DREAMH!$B$2:$B$766="F9. Theo dấu khách hàng")*(DREAMH!$JA$2:$JA$766="Chọn")*(INDEX(DREAMH!$K$2:$K$766,MATCH(DREAMH!$A$2:$A$766,DREAMH!$A$2:$A$766,0))="Nam quan hệ tình dục đồng giới (MSM)"))</f>
        <v>0</v>
      </c>
      <c r="K8" s="32"/>
      <c r="L8" s="32" t="s">
        <v>35</v>
      </c>
      <c r="M8" s="32" t="s">
        <v>35</v>
      </c>
      <c r="N8" s="32" t="s">
        <v>35</v>
      </c>
      <c r="O8" s="35" t="s">
        <v>39</v>
      </c>
      <c r="P8" s="31" t="s">
        <v>40</v>
      </c>
    </row>
    <row r="9" spans="2:16" ht="18" customHeight="1" x14ac:dyDescent="0.25">
      <c r="B9" s="26" t="s">
        <v>41</v>
      </c>
      <c r="C9" s="94" t="s">
        <v>42</v>
      </c>
      <c r="D9" s="94"/>
      <c r="E9" s="77"/>
      <c r="F9" s="77"/>
      <c r="G9" s="77"/>
      <c r="H9" s="77"/>
      <c r="I9" s="78"/>
      <c r="J9" s="78"/>
      <c r="K9" s="37"/>
      <c r="L9" s="37"/>
      <c r="M9" s="37"/>
      <c r="N9" s="37"/>
      <c r="O9" s="38"/>
      <c r="P9" s="31"/>
    </row>
    <row r="10" spans="2:16" ht="24" customHeight="1" x14ac:dyDescent="0.25">
      <c r="B10" s="20">
        <v>1</v>
      </c>
      <c r="C10" s="91" t="s">
        <v>43</v>
      </c>
      <c r="D10" s="91"/>
      <c r="E10" s="77" cm="1">
        <f t="array" ref="E10">SUMPRODUCT((DREAMH!$D$2:$D$766="Về nhà")*(DREAMH!$B$2:$B$766="F2. Truyền thông, sinh hoạt nhóm, vòng tròn chia sẻ, trị liệu nghệ thuật")*(DREAMH!$AA$2:$AA$766="Truyền thông")*(DREAMH!$C$2:$C$766=1))</f>
        <v>149</v>
      </c>
      <c r="F10" s="77" cm="1">
        <f t="array" ref="F10">SUMPRODUCT((DREAMH!$D$2:$D$766="Về nhà")*(DREAMH!$B$2:$B$766="F2. Truyền thông, sinh hoạt nhóm, vòng tròn chia sẻ, trị liệu nghệ thuật")*(DREAMH!$AA$2:$AA$766="Truyền thông")*(DREAMH!$C$2:$C$766=1)*(INDEX(DREAMH!$K$2:$K$766,MATCH(DREAMH!$A$2:$A$766,DREAMH!$A$2:$A$766,0))="Người sử dụng ma túy (PUD)"))</f>
        <v>75</v>
      </c>
      <c r="G10" s="77" cm="1">
        <f t="array" ref="G10">SUMPRODUCT((DREAMH!$D$2:$D$766="Về nhà")*(DREAMH!$B$2:$B$766="F2. Truyền thông, sinh hoạt nhóm, vòng tròn chia sẻ, trị liệu nghệ thuật")*(DREAMH!$AA$2:$AA$766="Truyền thông")*(DREAMH!$C$2:$C$766=1)*(INDEX(DREAMH!$K$2:$K$766,MATCH(DREAMH!$A$2:$A$766,DREAMH!$A$2:$A$766,0))="Người sống chung với HIV (PLHIV)"))</f>
        <v>45</v>
      </c>
      <c r="H10" s="77" cm="1">
        <f t="array" ref="H10">SUMPRODUCT((DREAMH!$D$2:$D$766="Về nhà")*(DREAMH!$B$2:$B$766="F2. Truyền thông, sinh hoạt nhóm, vòng tròn chia sẻ, trị liệu nghệ thuật")*(DREAMH!$AA$2:$AA$766="Truyền thông")*(DREAMH!$C$2:$C$766=1)*(INDEX(DREAMH!$K$2:$K$766,MATCH(DREAMH!$A$2:$A$766,DREAMH!$A$2:$A$766,0))="Người chuyển giới (TG)"))</f>
        <v>0</v>
      </c>
      <c r="I10" s="78" cm="1">
        <f t="array" ref="I10">SUMPRODUCT((DREAMH!$D$2:$D$766="Về nhà")*(DREAMH!$B$2:$B$766="F2. Truyền thông, sinh hoạt nhóm, vòng tròn chia sẻ, trị liệu nghệ thuật")*(DREAMH!$AA$2:$AA$766="Truyền thông")*(DREAMH!$C$2:$C$766=1)*(INDEX(DREAMH!$K$2:$K$766,MATCH(DREAMH!$A$2:$A$766,DREAMH!$A$2:$A$766,0))="Người bán dâm (SW)"))</f>
        <v>28</v>
      </c>
      <c r="J10" s="78" cm="1">
        <f t="array" ref="J10">SUMPRODUCT((DREAMH!$D$2:$D$766="Về nhà")*(DREAMH!$B$2:$B$766="F2. Truyền thông, sinh hoạt nhóm, vòng tròn chia sẻ, trị liệu nghệ thuật")*(DREAMH!$AA$2:$AA$766="Truyền thông")*(DREAMH!$C$2:$C$766=1)*(INDEX(DREAMH!$K$2:$K$766,MATCH(DREAMH!$A$2:$A$766,DREAMH!$A$2:$A$766,0))="Nam quan hệ tình dục đồng giới (MSM)"))</f>
        <v>1</v>
      </c>
      <c r="K10" s="37" t="s">
        <v>35</v>
      </c>
      <c r="L10" s="37" t="s">
        <v>35</v>
      </c>
      <c r="M10" s="37" t="s">
        <v>35</v>
      </c>
      <c r="N10" s="37" t="s">
        <v>35</v>
      </c>
      <c r="O10" s="91" t="s">
        <v>44</v>
      </c>
      <c r="P10" s="31"/>
    </row>
    <row r="11" spans="2:16" ht="18" customHeight="1" x14ac:dyDescent="0.25">
      <c r="B11" s="39">
        <v>2</v>
      </c>
      <c r="C11" s="91" t="s">
        <v>45</v>
      </c>
      <c r="D11" s="91"/>
      <c r="E11" s="77" cm="1">
        <f t="array" ref="E11">SUMPRODUCT((DREAMH!$D$2:$D$766="Về nhà")*(DREAMH!$B$2:$B$766="F2. Truyền thông, sinh hoạt nhóm, vòng tròn chia sẻ, trị liệu nghệ thuật")*(DREAMH!$AA$2:$AA$766="Truyền thông")*(DREAMH!$C$2:$C$766=2))</f>
        <v>0</v>
      </c>
      <c r="F11" s="77" cm="1">
        <f t="array" ref="F11">SUMPRODUCT((DREAMH!$D$2:$D$766="Về nhà")*(DREAMH!$B$2:$B$766="F2. Truyền thông, sinh hoạt nhóm, vòng tròn chia sẻ, trị liệu nghệ thuật")*(DREAMH!$AA$2:$AA$766="Truyền thông")*(DREAMH!$C$2:$C$766=2)*(INDEX(DREAMH!$K$2:$K$766,MATCH(DREAMH!$A$2:$A$766,DREAMH!$A$2:$A$766,0))="Người sử dụng ma túy (PUD)"))</f>
        <v>0</v>
      </c>
      <c r="G11" s="77" cm="1">
        <f t="array" ref="G11">SUMPRODUCT((DREAMH!$D$2:$D$766="Về nhà")*(DREAMH!$B$2:$B$766="F2. Truyền thông, sinh hoạt nhóm, vòng tròn chia sẻ, trị liệu nghệ thuật")*(DREAMH!$AA$2:$AA$766="Truyền thông")*(DREAMH!$C$2:$C$766=2)*(INDEX(DREAMH!$K$2:$K$766,MATCH(DREAMH!$A$2:$A$766,DREAMH!$A$2:$A$766,0))="Người sống chung với HIV (PLHIV)"))</f>
        <v>0</v>
      </c>
      <c r="H11" s="77" cm="1">
        <f t="array" ref="H11">SUMPRODUCT((DREAMH!$D$2:$D$766="Về nhà")*(DREAMH!$B$2:$B$766="F2. Truyền thông, sinh hoạt nhóm, vòng tròn chia sẻ, trị liệu nghệ thuật")*(DREAMH!$AA$2:$AA$766="Truyền thông")*(DREAMH!$C$2:$C$766=2)*(INDEX(DREAMH!$K$2:$K$766,MATCH(DREAMH!$A$2:$A$766,DREAMH!$A$2:$A$766,0))="Người chuyển giới (TG)"))</f>
        <v>0</v>
      </c>
      <c r="I11" s="78" cm="1">
        <f t="array" ref="I11">SUMPRODUCT((DREAMH!$D$2:$D$766="Về nhà")*(DREAMH!$B$2:$B$766="F2. Truyền thông, sinh hoạt nhóm, vòng tròn chia sẻ, trị liệu nghệ thuật")*(DREAMH!$AA$2:$AA$766="Truyền thông")*(DREAMH!$C$2:$C$766=2)*(INDEX(DREAMH!$K$2:$K$766,MATCH(DREAMH!$A$2:$A$766,DREAMH!$A$2:$A$766,0))="Người bán dâm (SW)"))</f>
        <v>0</v>
      </c>
      <c r="J11" s="78" cm="1">
        <f t="array" ref="J11">SUMPRODUCT((DREAMH!$D$2:$D$766="Về nhà")*(DREAMH!$B$2:$B$766="F2. Truyền thông, sinh hoạt nhóm, vòng tròn chia sẻ, trị liệu nghệ thuật")*(DREAMH!$AA$2:$AA$766="Truyền thông")*(DREAMH!$C$2:$C$766=2)*(INDEX(DREAMH!$K$2:$K$766,MATCH(DREAMH!$A$2:$A$766,DREAMH!$A$2:$A$766,0))="Nam quan hệ tình dục đồng giới (MSM)"))</f>
        <v>0</v>
      </c>
      <c r="K11" s="37" t="s">
        <v>35</v>
      </c>
      <c r="L11" s="37" t="s">
        <v>35</v>
      </c>
      <c r="M11" s="37" t="s">
        <v>35</v>
      </c>
      <c r="N11" s="37" t="s">
        <v>35</v>
      </c>
      <c r="O11" s="91"/>
      <c r="P11" s="31"/>
    </row>
    <row r="12" spans="2:16" ht="28.5" customHeight="1" x14ac:dyDescent="0.25">
      <c r="B12" s="20">
        <v>3</v>
      </c>
      <c r="C12" s="95" t="s">
        <v>46</v>
      </c>
      <c r="D12" s="95"/>
      <c r="E12" s="79" cm="1">
        <f t="array" ref="E12">SUMPRODUCT((DREAMH!$D$2:$D$766="Về nhà")*(DREAMH!$B$2:$B$766="F2. Truyền thông, sinh hoạt nhóm, vòng tròn chia sẻ, trị liệu nghệ thuật")*(DREAMH!$AA$2:$AA$766="Truyền thông"))</f>
        <v>149</v>
      </c>
      <c r="F12" s="79" cm="1">
        <f t="array" ref="F12">SUMPRODUCT((DREAMH!$D$2:$D$766="Về nhà")*(DREAMH!$B$2:$B$766="F2. Truyền thông, sinh hoạt nhóm, vòng tròn chia sẻ, trị liệu nghệ thuật")*(DREAMH!$AA$2:$AA$766="Truyền thông")*(INDEX(DREAMH!$K$2:$K$766,MATCH(DREAMH!$A$2:$A$766,DREAMH!$A$2:$A$766,0))="Người sử dụng ma túy (PUD)"))</f>
        <v>75</v>
      </c>
      <c r="G12" s="79" cm="1">
        <f t="array" ref="G12">SUMPRODUCT((DREAMH!$D$2:$D$766="Về nhà")*(DREAMH!$B$2:$B$766="F2. Truyền thông, sinh hoạt nhóm, vòng tròn chia sẻ, trị liệu nghệ thuật")*(DREAMH!$AA$2:$AA$766="Truyền thông")*(INDEX(DREAMH!$K$2:$K$766,MATCH(DREAMH!$A$2:$A$766,DREAMH!$A$2:$A$766,0))="Người sống chung với HIV (PLHIV)"))</f>
        <v>45</v>
      </c>
      <c r="H12" s="79" cm="1">
        <f t="array" ref="H12">SUMPRODUCT((DREAMH!$D$2:$D$766="Về nhà")*(DREAMH!$B$2:$B$766="F2. Truyền thông, sinh hoạt nhóm, vòng tròn chia sẻ, trị liệu nghệ thuật")*(DREAMH!$AA$2:$AA$766="Truyền thông")*(INDEX(DREAMH!$K$2:$K$766,MATCH(DREAMH!$A$2:$A$766,DREAMH!$A$2:$A$766,0))="Người chuyển giới (TG)"))</f>
        <v>0</v>
      </c>
      <c r="I12" s="78" cm="1">
        <f t="array" ref="I12">SUMPRODUCT((DREAMH!$D$2:$D$766="Về nhà")*(DREAMH!$B$2:$B$766="F2. Truyền thông, sinh hoạt nhóm, vòng tròn chia sẻ, trị liệu nghệ thuật")*(DREAMH!$AA$2:$AA$766="Truyền thông")*(INDEX(DREAMH!$K$2:$K$766,MATCH(DREAMH!$A$2:$A$766,DREAMH!$A$2:$A$766,0))="Người bán dâm (SW)"))</f>
        <v>28</v>
      </c>
      <c r="J12" s="78" cm="1">
        <f t="array" ref="J12">SUMPRODUCT((DREAMH!$D$2:$D$766="Về nhà")*(DREAMH!$B$2:$B$766="F2. Truyền thông, sinh hoạt nhóm, vòng tròn chia sẻ, trị liệu nghệ thuật")*(DREAMH!$AA$2:$AA$766="Truyền thông")*(INDEX(DREAMH!$K$2:$K$766,MATCH(DREAMH!$A$2:$A$766,DREAMH!$A$2:$A$766,0))="Nam quan hệ tình dục đồng giới (MSM)"))</f>
        <v>1</v>
      </c>
      <c r="K12" s="37" t="s">
        <v>35</v>
      </c>
      <c r="L12" s="37" t="s">
        <v>35</v>
      </c>
      <c r="M12" s="37" t="s">
        <v>35</v>
      </c>
      <c r="N12" s="37" t="s">
        <v>35</v>
      </c>
      <c r="O12" s="91"/>
      <c r="P12" s="31"/>
    </row>
    <row r="13" spans="2:16" ht="18" customHeight="1" x14ac:dyDescent="0.25">
      <c r="B13" s="26" t="s">
        <v>47</v>
      </c>
      <c r="C13" s="40" t="s">
        <v>48</v>
      </c>
      <c r="D13" s="2"/>
      <c r="E13" s="79"/>
      <c r="F13" s="79"/>
      <c r="G13" s="79"/>
      <c r="H13" s="79"/>
      <c r="I13" s="78"/>
      <c r="J13" s="78"/>
      <c r="K13" s="37"/>
      <c r="L13" s="37"/>
      <c r="M13" s="37"/>
      <c r="N13" s="37"/>
      <c r="O13" s="38" t="s">
        <v>49</v>
      </c>
      <c r="P13" s="31"/>
    </row>
    <row r="14" spans="2:16" s="8" customFormat="1" ht="18" customHeight="1" x14ac:dyDescent="0.25">
      <c r="B14" s="39">
        <v>1</v>
      </c>
      <c r="C14" s="90" t="s">
        <v>50</v>
      </c>
      <c r="D14" s="90"/>
      <c r="E14" s="79" cm="1">
        <f t="array" ref="E14">SUMPRODUCT((DREAMH!$D$2:$D$766="Về nhà")*(DREAMH!$B$2:$B$766="F3. Bảng hỏi sàng lọc sức khoẻ tâm thần (QST)")*(DREAMH!$C$2:$C$766=1))</f>
        <v>134</v>
      </c>
      <c r="F14" s="79" cm="1">
        <f t="array" ref="F14">SUMPRODUCT((DREAMH!$D$2:$D$766="Về nhà")*(DREAMH!$B$2:$B$766="F3. Bảng hỏi sàng lọc sức khoẻ tâm thần (QST)")*(DREAMH!$C$2:$C$766=1)*(INDEX(DREAMH!$K$2:$K$766,MATCH(DREAMH!$A$2:$A$766,DREAMH!$A$2:$A$766,0))="Người sử dụng ma túy (PUD)"))</f>
        <v>66</v>
      </c>
      <c r="G14" s="79" cm="1">
        <f t="array" ref="G14">SUMPRODUCT((DREAMH!$D$2:$D$766="Về nhà")*(DREAMH!$B$2:$B$766="F3. Bảng hỏi sàng lọc sức khoẻ tâm thần (QST)")*(DREAMH!$C$2:$C$766=1)*(INDEX(DREAMH!$K$2:$K$766,MATCH(DREAMH!$A$2:$A$766,DREAMH!$A$2:$A$766,0))="Người sống chung với HIV (PLHIV)"))</f>
        <v>42</v>
      </c>
      <c r="H14" s="79" cm="1">
        <f t="array" ref="H14">SUMPRODUCT((DREAMH!$D$2:$D$766="Về nhà")*(DREAMH!$B$2:$B$766="F3. Bảng hỏi sàng lọc sức khoẻ tâm thần (QST)")*(DREAMH!$C$2:$C$766=1)*(INDEX(DREAMH!$K$2:$K$766,MATCH(DREAMH!$A$2:$A$766,DREAMH!$A$2:$A$766,0))="Người chuyển giới (TG)"))</f>
        <v>0</v>
      </c>
      <c r="I14" s="78" cm="1">
        <f t="array" ref="I14">SUMPRODUCT((DREAMH!$D$2:$D$766="Về nhà")*(DREAMH!$B$2:$B$766="F3. Bảng hỏi sàng lọc sức khoẻ tâm thần (QST)")*(DREAMH!$C$2:$C$766=1)*(INDEX(DREAMH!$K$2:$K$766,MATCH(DREAMH!$A$2:$A$766,DREAMH!$A$2:$A$766,0))="Người bán dâm (SW)"))</f>
        <v>25</v>
      </c>
      <c r="J14" s="78" cm="1">
        <f t="array" ref="J14">SUMPRODUCT((DREAMH!$D$2:$D$766="Về nhà")*(DREAMH!$B$2:$B$766="F3. Bảng hỏi sàng lọc sức khoẻ tâm thần (QST)")*(DREAMH!$C$2:$C$766=1)*(INDEX(DREAMH!$K$2:$K$766,MATCH(DREAMH!$A$2:$A$766,DREAMH!$A$2:$A$766,0))="Nam quan hệ tình dục đồng giới (MSM)"))</f>
        <v>1</v>
      </c>
      <c r="K14" s="37" t="s">
        <v>35</v>
      </c>
      <c r="L14" s="37" t="s">
        <v>35</v>
      </c>
      <c r="M14" s="37" t="s">
        <v>35</v>
      </c>
      <c r="N14" s="37" t="s">
        <v>35</v>
      </c>
      <c r="O14" s="42"/>
      <c r="P14" s="31"/>
    </row>
    <row r="15" spans="2:16" s="8" customFormat="1" ht="18" customHeight="1" x14ac:dyDescent="0.3">
      <c r="B15" s="20"/>
      <c r="C15" s="43" t="s">
        <v>51</v>
      </c>
      <c r="D15" s="44" t="s">
        <v>52</v>
      </c>
      <c r="E15" s="79" cm="1">
        <f t="array" ref="E15">SUMPRODUCT((DREAMH!$D$2:$D$766="Về nhà")*(DREAMH!$B$2:$B$766="F3. Bảng hỏi sàng lọc sức khoẻ tâm thần (QST)")*(DREAMH!$C$2:$C$766=1)*(DREAMH!$BC$2:$BC$766&gt;=8))</f>
        <v>19</v>
      </c>
      <c r="F15" s="79" cm="1">
        <f t="array" ref="F15">SUMPRODUCT((DREAMH!$D$2:$D$766="Về nhà")*(DREAMH!$B$2:$B$766="F3. Bảng hỏi sàng lọc sức khoẻ tâm thần (QST)")*(DREAMH!$C$2:$C$766=1)*(DREAMH!$BC$2:$BC$766&gt;=8)*(INDEX(DREAMH!$K$2:$K$766,MATCH(DREAMH!$A$2:$A$766,DREAMH!$A$2:$A$766,0))="Người sử dụng ma túy (PUD)"))</f>
        <v>15</v>
      </c>
      <c r="G15" s="79" cm="1">
        <f t="array" ref="G15">SUMPRODUCT((DREAMH!$D$2:$D$766="Về nhà")*(DREAMH!$B$2:$B$766="F3. Bảng hỏi sàng lọc sức khoẻ tâm thần (QST)")*(DREAMH!$C$2:$C$766=1)*(DREAMH!$BC$2:$BC$766&gt;=8)*(INDEX(DREAMH!$K$2:$K$766,MATCH(DREAMH!$A$2:$A$766,DREAMH!$A$2:$A$766,0))="Người sống chung với HIV (PLHIV)"))</f>
        <v>4</v>
      </c>
      <c r="H15" s="79" cm="1">
        <f t="array" ref="H15">SUMPRODUCT((DREAMH!$D$2:$D$766="Về nhà")*(DREAMH!$B$2:$B$766="F3. Bảng hỏi sàng lọc sức khoẻ tâm thần (QST)")*(DREAMH!$C$2:$C$766=1)*(DREAMH!$BC$2:$BC$766&gt;=8)*(INDEX(DREAMH!$K$2:$K$766,MATCH(DREAMH!$A$2:$A$766,DREAMH!$A$2:$A$766,0))="Người chuyển giới (TG)"))</f>
        <v>0</v>
      </c>
      <c r="I15" s="78" cm="1">
        <f t="array" ref="I15">SUMPRODUCT((DREAMH!$D$2:$D$766="Về nhà")*(DREAMH!$B$2:$B$766="F3. Bảng hỏi sàng lọc sức khoẻ tâm thần (QST)")*(DREAMH!$C$2:$C$766=1)*(DREAMH!$BC$2:$BC$766&gt;=8)*(INDEX(DREAMH!$K$2:$K$766,MATCH(DREAMH!$A$2:$A$766,DREAMH!$A$2:$A$766,0))="Người bán dâm (SW)"))</f>
        <v>0</v>
      </c>
      <c r="J15" s="78" cm="1">
        <f t="array" ref="J15">SUMPRODUCT((DREAMH!$D$2:$D$766="Về nhà")*(DREAMH!$B$2:$B$766="F3. Bảng hỏi sàng lọc sức khoẻ tâm thần (QST)")*(DREAMH!$C$2:$C$766=1)*(DREAMH!$BC$2:$BC$766&gt;=8)*(INDEX(DREAMH!$K$2:$K$766,MATCH(DREAMH!$A$2:$A$766,DREAMH!$A$2:$A$766,0))="Nam quan hệ tình dục đồng giới (MSM)"))</f>
        <v>0</v>
      </c>
      <c r="K15" s="37" t="s">
        <v>35</v>
      </c>
      <c r="L15" s="37" t="s">
        <v>35</v>
      </c>
      <c r="M15" s="37" t="s">
        <v>35</v>
      </c>
      <c r="N15" s="37" t="s">
        <v>35</v>
      </c>
      <c r="O15" s="42"/>
      <c r="P15" s="31"/>
    </row>
    <row r="16" spans="2:16" s="8" customFormat="1" ht="18" customHeight="1" x14ac:dyDescent="0.3">
      <c r="B16" s="20"/>
      <c r="C16" s="43"/>
      <c r="D16" s="44" t="s">
        <v>53</v>
      </c>
      <c r="E16" s="79" cm="1">
        <f t="array" ref="E16">SUMPRODUCT((DREAMH!$D$2:$D$766="Về nhà")*(DREAMH!$B$2:$B$766="F3. Bảng hỏi sàng lọc sức khoẻ tâm thần (QST)")*(DREAMH!$C$2:$C$766=1)*(DREAMH!$BC$2:$BC$766&gt;=6)*(DREAMH!$BC$2:$BC$766&lt;=7))</f>
        <v>39</v>
      </c>
      <c r="F16" s="79" cm="1">
        <f t="array" ref="F16">SUMPRODUCT((DREAMH!$D$2:$D$766="Về nhà")*(DREAMH!$B$2:$B$766="F3. Bảng hỏi sàng lọc sức khoẻ tâm thần (QST)")*(DREAMH!$C$2:$C$766=1)*(DREAMH!$BC$2:$BC$766&gt;=6)*(DREAMH!$BC$2:$BC$766&lt;=7)*(INDEX(DREAMH!$K$2:$K$766,MATCH(DREAMH!$A$2:$A$766,DREAMH!$A$2:$A$766,0))="Người sử dụng ma túy (PUD)"))</f>
        <v>19</v>
      </c>
      <c r="G16" s="79" cm="1">
        <f t="array" ref="G16">SUMPRODUCT((DREAMH!$D$2:$D$766="Về nhà")*(DREAMH!$B$2:$B$766="F3. Bảng hỏi sàng lọc sức khoẻ tâm thần (QST)")*(DREAMH!$C$2:$C$766=1)*(DREAMH!$BC$2:$BC$766&gt;=6)*(DREAMH!$BC$2:$BC$766&lt;=7)*(INDEX(DREAMH!$K$2:$K$766,MATCH(DREAMH!$A$2:$A$766,DREAMH!$A$2:$A$766,0))="Người sống chung với HIV (PLHIV)"))</f>
        <v>9</v>
      </c>
      <c r="H16" s="79" cm="1">
        <f t="array" ref="H16">SUMPRODUCT((DREAMH!$D$2:$D$766="Về nhà")*(DREAMH!$B$2:$B$766="F3. Bảng hỏi sàng lọc sức khoẻ tâm thần (QST)")*(DREAMH!$C$2:$C$766=1)*(DREAMH!$BC$2:$BC$766&gt;=6)*(DREAMH!$BC$2:$BC$766&lt;=7)*(INDEX(DREAMH!$K$2:$K$766,MATCH(DREAMH!$A$2:$A$766,DREAMH!$A$2:$A$766,0))="Người chuyển giới (TG)"))</f>
        <v>0</v>
      </c>
      <c r="I16" s="78" cm="1">
        <f t="array" ref="I16">SUMPRODUCT((DREAMH!$D$2:$D$766="Về nhà")*(DREAMH!$B$2:$B$766="F3. Bảng hỏi sàng lọc sức khoẻ tâm thần (QST)")*(DREAMH!$C$2:$C$766=1)*(DREAMH!$BC$2:$BC$766&gt;=6)*(DREAMH!$BC$2:$BC$766&lt;=7)*(INDEX(DREAMH!$K$2:$K$766,MATCH(DREAMH!$A$2:$A$766,DREAMH!$A$2:$A$766,0))="Người bán dâm (SW)"))</f>
        <v>10</v>
      </c>
      <c r="J16" s="78" cm="1">
        <f t="array" ref="J16">SUMPRODUCT((DREAMH!$D$2:$D$766="Về nhà")*(DREAMH!$B$2:$B$766="F3. Bảng hỏi sàng lọc sức khoẻ tâm thần (QST)")*(DREAMH!$C$2:$C$766=1)*(DREAMH!$BC$2:$BC$766&gt;=6)*(DREAMH!$BC$2:$BC$766&lt;=7)*(INDEX(DREAMH!$K$2:$K$766,MATCH(DREAMH!$A$2:$A$766,DREAMH!$A$2:$A$766,0))="Nam quan hệ tình dục đồng giới (MSM)"))</f>
        <v>1</v>
      </c>
      <c r="K16" s="37" t="s">
        <v>35</v>
      </c>
      <c r="L16" s="37" t="s">
        <v>35</v>
      </c>
      <c r="M16" s="37" t="s">
        <v>35</v>
      </c>
      <c r="N16" s="37" t="s">
        <v>35</v>
      </c>
      <c r="O16" s="42"/>
      <c r="P16" s="31"/>
    </row>
    <row r="17" spans="2:16" s="8" customFormat="1" ht="18" customHeight="1" x14ac:dyDescent="0.3">
      <c r="B17" s="20"/>
      <c r="C17" s="43"/>
      <c r="D17" s="44" t="s">
        <v>54</v>
      </c>
      <c r="E17" s="79" cm="1">
        <f t="array" ref="E17">SUMPRODUCT((DREAMH!$D$2:$D$766="Về nhà")*(DREAMH!$B$2:$B$766="F3. Bảng hỏi sàng lọc sức khoẻ tâm thần (QST)")*(DREAMH!$C$2:$C$766=1)*(DREAMH!$BC$2:$BC$766&gt;=4)*(DREAMH!$BC$2:$BC$766&lt;=5))</f>
        <v>42</v>
      </c>
      <c r="F17" s="79" cm="1">
        <f t="array" ref="F17">SUMPRODUCT((DREAMH!$D$2:$D$766="Về nhà")*(DREAMH!$B$2:$B$766="F3. Bảng hỏi sàng lọc sức khoẻ tâm thần (QST)")*(DREAMH!$C$2:$C$766=1)*(DREAMH!$BC$2:$BC$766&gt;=4)*(DREAMH!$BC$2:$BC$766&lt;=5)*(INDEX(DREAMH!$K$2:$K$766,MATCH(DREAMH!$A$2:$A$766,DREAMH!$A$2:$A$766,0))="Người sử dụng ma túy (PUD)"))</f>
        <v>21</v>
      </c>
      <c r="G17" s="79" cm="1">
        <f t="array" ref="G17">SUMPRODUCT((DREAMH!$D$2:$D$766="Về nhà")*(DREAMH!$B$2:$B$766="F3. Bảng hỏi sàng lọc sức khoẻ tâm thần (QST)")*(DREAMH!$C$2:$C$766=1)*(DREAMH!$BC$2:$BC$766&gt;=4)*(DREAMH!$BC$2:$BC$766&lt;=5)*(INDEX(DREAMH!$K$2:$K$766,MATCH(DREAMH!$A$2:$A$766,DREAMH!$A$2:$A$766,0))="Người sống chung với HIV (PLHIV)"))</f>
        <v>16</v>
      </c>
      <c r="H17" s="79" cm="1">
        <f t="array" ref="H17">SUMPRODUCT((DREAMH!$D$2:$D$766="Về nhà")*(DREAMH!$B$2:$B$766="F3. Bảng hỏi sàng lọc sức khoẻ tâm thần (QST)")*(DREAMH!$C$2:$C$766=1)*(DREAMH!$BC$2:$BC$766&gt;=4)*(DREAMH!$BC$2:$BC$766&lt;=5)*(INDEX(DREAMH!$K$2:$K$766,MATCH(DREAMH!$A$2:$A$766,DREAMH!$A$2:$A$766,0))="Người chuyển giới (TG)"))</f>
        <v>0</v>
      </c>
      <c r="I17" s="78" cm="1">
        <f t="array" ref="I17">SUMPRODUCT((DREAMH!$D$2:$D$766="Về nhà")*(DREAMH!$B$2:$B$766="F3. Bảng hỏi sàng lọc sức khoẻ tâm thần (QST)")*(DREAMH!$C$2:$C$766=1)*(DREAMH!$BC$2:$BC$766&gt;=4)*(DREAMH!$BC$2:$BC$766&lt;=5)*(INDEX(DREAMH!$K$2:$K$766,MATCH(DREAMH!$A$2:$A$766,DREAMH!$A$2:$A$766,0))="Người bán dâm (SW)"))</f>
        <v>5</v>
      </c>
      <c r="J17" s="78" cm="1">
        <f t="array" ref="J17">SUMPRODUCT((DREAMH!$D$2:$D$766="Về nhà")*(DREAMH!$B$2:$B$766="F3. Bảng hỏi sàng lọc sức khoẻ tâm thần (QST)")*(DREAMH!$C$2:$C$766=1)*(DREAMH!$BC$2:$BC$766&gt;=4)*(DREAMH!$BC$2:$BC$766&lt;=5)*(INDEX(DREAMH!$K$2:$K$766,MATCH(DREAMH!$A$2:$A$766,DREAMH!$A$2:$A$766,0))="Nam quan hệ tình dục đồng giới (MSM)"))</f>
        <v>0</v>
      </c>
      <c r="K17" s="37" t="s">
        <v>35</v>
      </c>
      <c r="L17" s="37" t="s">
        <v>35</v>
      </c>
      <c r="M17" s="37" t="s">
        <v>35</v>
      </c>
      <c r="N17" s="37" t="s">
        <v>35</v>
      </c>
      <c r="O17" s="42"/>
      <c r="P17" s="31"/>
    </row>
    <row r="18" spans="2:16" s="8" customFormat="1" ht="18" customHeight="1" x14ac:dyDescent="0.3">
      <c r="B18" s="20"/>
      <c r="C18" s="43"/>
      <c r="D18" s="44" t="s">
        <v>55</v>
      </c>
      <c r="E18" s="79" cm="1">
        <f t="array" ref="E18">SUMPRODUCT((DREAMH!$D$2:$D$766="Về nhà")*(DREAMH!$B$2:$B$766="F3. Bảng hỏi sàng lọc sức khoẻ tâm thần (QST)")*(DREAMH!$C$2:$C$766=1)*(DREAMH!$BC$2:$BC$766&lt;4))</f>
        <v>34</v>
      </c>
      <c r="F18" s="79" cm="1">
        <f t="array" ref="F18">SUMPRODUCT((DREAMH!$D$2:$D$766="Về nhà")*(DREAMH!$B$2:$B$766="F3. Bảng hỏi sàng lọc sức khoẻ tâm thần (QST)")*(DREAMH!$C$2:$C$766=1)*(DREAMH!$BC$2:$BC$766&lt;4)*(INDEX(DREAMH!$K$2:$K$766,MATCH(DREAMH!$A$2:$A$766,DREAMH!$A$2:$A$766,0))="Người sử dụng ma túy (PUD)"))</f>
        <v>11</v>
      </c>
      <c r="G18" s="79" cm="1">
        <f t="array" ref="G18">SUMPRODUCT((DREAMH!$D$2:$D$766="Về nhà")*(DREAMH!$B$2:$B$766="F3. Bảng hỏi sàng lọc sức khoẻ tâm thần (QST)")*(DREAMH!$C$2:$C$766=1)*(DREAMH!$BC$2:$BC$766&lt;4)*(INDEX(DREAMH!$K$2:$K$766,MATCH(DREAMH!$A$2:$A$766,DREAMH!$A$2:$A$766,0))="Người sống chung với HIV (PLHIV)"))</f>
        <v>13</v>
      </c>
      <c r="H18" s="79" cm="1">
        <f t="array" ref="H18">SUMPRODUCT((DREAMH!$D$2:$D$766="Về nhà")*(DREAMH!$B$2:$B$766="F3. Bảng hỏi sàng lọc sức khoẻ tâm thần (QST)")*(DREAMH!$C$2:$C$766=1)*(DREAMH!$BC$2:$BC$766&lt;4)*(INDEX(DREAMH!$K$2:$K$766,MATCH(DREAMH!$A$2:$A$766,DREAMH!$A$2:$A$766,0))="Người chuyển giới (TG)"))</f>
        <v>0</v>
      </c>
      <c r="I18" s="78" cm="1">
        <f t="array" ref="I18">SUMPRODUCT((DREAMH!$D$2:$D$766="Về nhà")*(DREAMH!$B$2:$B$766="F3. Bảng hỏi sàng lọc sức khoẻ tâm thần (QST)")*(DREAMH!$C$2:$C$766=1)*(DREAMH!$BC$2:$BC$766&lt;4)*(INDEX(DREAMH!$K$2:$K$766,MATCH(DREAMH!$A$2:$A$766,DREAMH!$A$2:$A$766,0))="Người bán dâm (SW)"))</f>
        <v>10</v>
      </c>
      <c r="J18" s="78" cm="1">
        <f t="array" ref="J18">SUMPRODUCT((DREAMH!$D$2:$D$766="Về nhà")*(DREAMH!$B$2:$B$766="F3. Bảng hỏi sàng lọc sức khoẻ tâm thần (QST)")*(DREAMH!$C$2:$C$766=1)*(DREAMH!$BC$2:$BC$766&lt;4)*(INDEX(DREAMH!$K$2:$K$766,MATCH(DREAMH!$A$2:$A$766,DREAMH!$A$2:$A$766,0))="Nam quan hệ tình dục đồng giới (MSM)"))</f>
        <v>0</v>
      </c>
      <c r="K18" s="37" t="s">
        <v>35</v>
      </c>
      <c r="L18" s="37" t="s">
        <v>35</v>
      </c>
      <c r="M18" s="37" t="s">
        <v>35</v>
      </c>
      <c r="N18" s="37" t="s">
        <v>35</v>
      </c>
      <c r="O18" s="42"/>
      <c r="P18" s="31"/>
    </row>
    <row r="19" spans="2:16" s="8" customFormat="1" ht="18" customHeight="1" x14ac:dyDescent="0.25">
      <c r="B19" s="39">
        <v>2</v>
      </c>
      <c r="C19" s="90" t="s">
        <v>56</v>
      </c>
      <c r="D19" s="90"/>
      <c r="E19" s="79" cm="1">
        <f t="array" ref="E19">SUMPRODUCT((DREAMH!$D$2:$D$766="Về nhà")*(DREAMH!$B$2:$B$766="F3. Bảng hỏi sàng lọc sức khoẻ tâm thần (QST)")*(DREAMH!$C$2:$C$766&gt;=2))</f>
        <v>0</v>
      </c>
      <c r="F19" s="79" cm="1">
        <f t="array" ref="F19">SUMPRODUCT((DREAMH!$D$2:$D$766="Về nhà")*(DREAMH!$B$2:$B$766="F3. Bảng hỏi sàng lọc sức khoẻ tâm thần (QST)")*(DREAMH!$C$2:$C$766&gt;=2)*(INDEX(DREAMH!$K$2:$K$766,MATCH(DREAMH!$A$2:$A$766,DREAMH!$A$2:$A$766,0))="Người sử dụng ma túy (PUD)"))</f>
        <v>0</v>
      </c>
      <c r="G19" s="79" cm="1">
        <f t="array" ref="G19">SUMPRODUCT((DREAMH!$D$2:$D$766="Về nhà")*(DREAMH!$B$2:$B$766="F3. Bảng hỏi sàng lọc sức khoẻ tâm thần (QST)")*(DREAMH!$C$2:$C$766&gt;=2)*(INDEX(DREAMH!$K$2:$K$766,MATCH(DREAMH!$A$2:$A$766,DREAMH!$A$2:$A$766,0))="Người sống chung với HIV (PLHIV)"))</f>
        <v>0</v>
      </c>
      <c r="H19" s="79" cm="1">
        <f t="array" ref="H19">SUMPRODUCT((DREAMH!$D$2:$D$766="Về nhà")*(DREAMH!$B$2:$B$766="F3. Bảng hỏi sàng lọc sức khoẻ tâm thần (QST)")*(DREAMH!$C$2:$C$766&gt;=2)*(INDEX(DREAMH!$K$2:$K$766,MATCH(DREAMH!$A$2:$A$766,DREAMH!$A$2:$A$766,0))="Người chuyển giới (TG)"))</f>
        <v>0</v>
      </c>
      <c r="I19" s="78" cm="1">
        <f t="array" ref="I19">SUMPRODUCT((DREAMH!$D$2:$D$766="Về nhà")*(DREAMH!$B$2:$B$766="F3. Bảng hỏi sàng lọc sức khoẻ tâm thần (QST)")*(DREAMH!$C$2:$C$766&gt;=2)*(INDEX(DREAMH!$K$2:$K$766,MATCH(DREAMH!$A$2:$A$766,DREAMH!$A$2:$A$766,0))="Người bán dâm (SW)"))</f>
        <v>0</v>
      </c>
      <c r="J19" s="78" cm="1">
        <f t="array" ref="J19">SUMPRODUCT((DREAMH!$D$2:$D$766="Về nhà")*(DREAMH!$B$2:$B$766="F3. Bảng hỏi sàng lọc sức khoẻ tâm thần (QST)")*(DREAMH!$C$2:$C$766&gt;=2)*(INDEX(DREAMH!$K$2:$K$766,MATCH(DREAMH!$A$2:$A$766,DREAMH!$A$2:$A$766,0))="Nam quan hệ tình dục đồng giới (MSM)"))</f>
        <v>0</v>
      </c>
      <c r="K19" s="37" t="s">
        <v>35</v>
      </c>
      <c r="L19" s="37" t="s">
        <v>35</v>
      </c>
      <c r="M19" s="37" t="s">
        <v>35</v>
      </c>
      <c r="N19" s="37" t="s">
        <v>35</v>
      </c>
      <c r="O19" s="35" t="s">
        <v>57</v>
      </c>
      <c r="P19" s="31"/>
    </row>
    <row r="20" spans="2:16" s="8" customFormat="1" ht="18" customHeight="1" x14ac:dyDescent="0.3">
      <c r="B20" s="20"/>
      <c r="C20" s="43" t="s">
        <v>58</v>
      </c>
      <c r="D20" s="44" t="s">
        <v>52</v>
      </c>
      <c r="E20" s="79" cm="1">
        <f t="array" ref="E20">SUMPRODUCT((DREAMH!$D$2:$D$766="Về nhà")*(DREAMH!$B$2:$B$766="F3. Bảng hỏi sàng lọc sức khoẻ tâm thần (QST)")*(DREAMH!$C$2:$C$766&gt;=2)*(DREAMH!$BC$2:$BC$766&gt;=8))</f>
        <v>0</v>
      </c>
      <c r="F20" s="79" cm="1">
        <f t="array" ref="F20">SUMPRODUCT((DREAMH!$D$2:$D$766="Về nhà")*(DREAMH!$B$2:$B$766="F3. Bảng hỏi sàng lọc sức khoẻ tâm thần (QST)")*(DREAMH!$C$2:$C$766&gt;=2)*(DREAMH!$BC$2:$BC$766&gt;=8)*(INDEX(DREAMH!$K$2:$K$766,MATCH(DREAMH!$A$2:$A$766,DREAMH!$A$2:$A$766,0))="Người sử dụng ma túy (PUD)"))</f>
        <v>0</v>
      </c>
      <c r="G20" s="79" cm="1">
        <f t="array" ref="G20">SUMPRODUCT((DREAMH!$D$2:$D$766="Về nhà")*(DREAMH!$B$2:$B$766="F3. Bảng hỏi sàng lọc sức khoẻ tâm thần (QST)")*(DREAMH!$C$2:$C$766&gt;=2)*(DREAMH!$BC$2:$BC$766&gt;=8)*(INDEX(DREAMH!$K$2:$K$766,MATCH(DREAMH!$A$2:$A$766,DREAMH!$A$2:$A$766,0))="Người sống chung với HIV (PLHIV)"))</f>
        <v>0</v>
      </c>
      <c r="H20" s="79" cm="1">
        <f t="array" ref="H20">SUMPRODUCT((DREAMH!$D$2:$D$766="Về nhà")*(DREAMH!$B$2:$B$766="F3. Bảng hỏi sàng lọc sức khoẻ tâm thần (QST)")*(DREAMH!$C$2:$C$766&gt;=2)*(DREAMH!$BC$2:$BC$766&gt;=8)*(INDEX(DREAMH!$K$2:$K$766,MATCH(DREAMH!$A$2:$A$766,DREAMH!$A$2:$A$766,0))="Người chuyển giới (TG)"))</f>
        <v>0</v>
      </c>
      <c r="I20" s="78" cm="1">
        <f t="array" ref="I20">SUMPRODUCT((DREAMH!$D$2:$D$766="Về nhà")*(DREAMH!$B$2:$B$766="F3. Bảng hỏi sàng lọc sức khoẻ tâm thần (QST)")*(DREAMH!$C$2:$C$766&gt;=2)*(DREAMH!$BC$2:$BC$766&gt;=8)*(INDEX(DREAMH!$K$2:$K$766,MATCH(DREAMH!$A$2:$A$766,DREAMH!$A$2:$A$766,0))="Người bán dâm (SW)"))</f>
        <v>0</v>
      </c>
      <c r="J20" s="78" cm="1">
        <f t="array" ref="J20">SUMPRODUCT((DREAMH!$D$2:$D$766="Về nhà")*(DREAMH!$B$2:$B$766="F3. Bảng hỏi sàng lọc sức khoẻ tâm thần (QST)")*(DREAMH!$C$2:$C$766&gt;=2)*(DREAMH!$BC$2:$BC$766&gt;=8)*(INDEX(DREAMH!$K$2:$K$766,MATCH(DREAMH!$A$2:$A$766,DREAMH!$A$2:$A$766,0))="Nam quan hệ tình dục đồng giới (MSM)"))</f>
        <v>0</v>
      </c>
      <c r="K20" s="37" t="s">
        <v>35</v>
      </c>
      <c r="L20" s="37" t="s">
        <v>35</v>
      </c>
      <c r="M20" s="37" t="s">
        <v>35</v>
      </c>
      <c r="N20" s="37" t="s">
        <v>35</v>
      </c>
      <c r="O20" s="42"/>
      <c r="P20" s="31"/>
    </row>
    <row r="21" spans="2:16" s="8" customFormat="1" ht="18" customHeight="1" x14ac:dyDescent="0.3">
      <c r="B21" s="20"/>
      <c r="C21" s="43"/>
      <c r="D21" s="44" t="s">
        <v>53</v>
      </c>
      <c r="E21" s="79" cm="1">
        <f t="array" ref="E21">SUMPRODUCT((DREAMH!$D$2:$D$766="Về nhà")*(DREAMH!$B$2:$B$766="F3. Bảng hỏi sàng lọc sức khoẻ tâm thần (QST)")*(DREAMH!$C$2:$C$766&gt;=2)*(DREAMH!$BC$2:$BC$766&gt;=6)*(DREAMH!$BC$2:$BC$766&lt;=7))</f>
        <v>0</v>
      </c>
      <c r="F21" s="79" cm="1">
        <f t="array" ref="F21">SUMPRODUCT((DREAMH!$D$2:$D$766="Về nhà")*(DREAMH!$B$2:$B$766="F3. Bảng hỏi sàng lọc sức khoẻ tâm thần (QST)")*(DREAMH!$C$2:$C$766&gt;=2)*(DREAMH!$BC$2:$BC$766&gt;=6)*(DREAMH!$BC$2:$BC$766&lt;=7)*(INDEX(DREAMH!$K$2:$K$766,MATCH(DREAMH!$A$2:$A$766,DREAMH!$A$2:$A$766,0))="Người sử dụng ma túy (PUD)"))</f>
        <v>0</v>
      </c>
      <c r="G21" s="79" cm="1">
        <f t="array" ref="G21">SUMPRODUCT((DREAMH!$D$2:$D$766="Về nhà")*(DREAMH!$B$2:$B$766="F3. Bảng hỏi sàng lọc sức khoẻ tâm thần (QST)")*(DREAMH!$C$2:$C$766&gt;=2)*(DREAMH!$BC$2:$BC$766&gt;=6)*(DREAMH!$BC$2:$BC$766&lt;=7)*(INDEX(DREAMH!$K$2:$K$766,MATCH(DREAMH!$A$2:$A$766,DREAMH!$A$2:$A$766,0))="Người sống chung với HIV (PLHIV)"))</f>
        <v>0</v>
      </c>
      <c r="H21" s="79" cm="1">
        <f t="array" ref="H21">SUMPRODUCT((DREAMH!$D$2:$D$766="Về nhà")*(DREAMH!$B$2:$B$766="F3. Bảng hỏi sàng lọc sức khoẻ tâm thần (QST)")*(DREAMH!$C$2:$C$766&gt;=2)*(DREAMH!$BC$2:$BC$766&gt;=6)*(DREAMH!$BC$2:$BC$766&lt;=7)*(INDEX(DREAMH!$K$2:$K$766,MATCH(DREAMH!$A$2:$A$766,DREAMH!$A$2:$A$766,0))="Người chuyển giới (TG)"))</f>
        <v>0</v>
      </c>
      <c r="I21" s="78" cm="1">
        <f t="array" ref="I21">SUMPRODUCT((DREAMH!$D$2:$D$766="Về nhà")*(DREAMH!$B$2:$B$766="F3. Bảng hỏi sàng lọc sức khoẻ tâm thần (QST)")*(DREAMH!$C$2:$C$766&gt;=2)*(DREAMH!$BC$2:$BC$766&gt;=6)*(DREAMH!$BC$2:$BC$766&lt;=7)*(INDEX(DREAMH!$K$2:$K$766,MATCH(DREAMH!$A$2:$A$766,DREAMH!$A$2:$A$766,0))="Người bán dâm (SW)"))</f>
        <v>0</v>
      </c>
      <c r="J21" s="78" cm="1">
        <f t="array" ref="J21">SUMPRODUCT((DREAMH!$D$2:$D$766="Về nhà")*(DREAMH!$B$2:$B$766="F3. Bảng hỏi sàng lọc sức khoẻ tâm thần (QST)")*(DREAMH!$C$2:$C$766&gt;=2)*(DREAMH!$BC$2:$BC$766&gt;=6)*(DREAMH!$BC$2:$BC$766&lt;=7)*(INDEX(DREAMH!$K$2:$K$766,MATCH(DREAMH!$A$2:$A$766,DREAMH!$A$2:$A$766,0))="Nam quan hệ tình dục đồng giới (MSM)"))</f>
        <v>0</v>
      </c>
      <c r="K21" s="37" t="s">
        <v>35</v>
      </c>
      <c r="L21" s="37" t="s">
        <v>35</v>
      </c>
      <c r="M21" s="37" t="s">
        <v>35</v>
      </c>
      <c r="N21" s="37" t="s">
        <v>35</v>
      </c>
      <c r="O21" s="42"/>
      <c r="P21" s="31"/>
    </row>
    <row r="22" spans="2:16" s="8" customFormat="1" ht="18" customHeight="1" x14ac:dyDescent="0.3">
      <c r="B22" s="20"/>
      <c r="C22" s="43"/>
      <c r="D22" s="44" t="s">
        <v>54</v>
      </c>
      <c r="E22" s="79" cm="1">
        <f t="array" ref="E22">SUMPRODUCT((DREAMH!$D$2:$D$766="Về nhà")*(DREAMH!$B$2:$B$766="F3. Bảng hỏi sàng lọc sức khoẻ tâm thần (QST)")*(DREAMH!$C$2:$C$766&gt;=2)*(DREAMH!$BC$2:$BC$766&gt;=4)*(DREAMH!$BC$2:$BC$766&lt;=5))</f>
        <v>0</v>
      </c>
      <c r="F22" s="79" cm="1">
        <f t="array" ref="F22">SUMPRODUCT((DREAMH!$D$2:$D$766="Về nhà")*(DREAMH!$B$2:$B$766="F3. Bảng hỏi sàng lọc sức khoẻ tâm thần (QST)")*(DREAMH!$C$2:$C$766&gt;=2)*(DREAMH!$BC$2:$BC$766&gt;=4)*(DREAMH!$BC$2:$BC$766&lt;=5)*(INDEX(DREAMH!$K$2:$K$766,MATCH(DREAMH!$A$2:$A$766,DREAMH!$A$2:$A$766,0))="Người sử dụng ma túy (PUD)"))</f>
        <v>0</v>
      </c>
      <c r="G22" s="79" cm="1">
        <f t="array" ref="G22">SUMPRODUCT((DREAMH!$D$2:$D$766="Về nhà")*(DREAMH!$B$2:$B$766="F3. Bảng hỏi sàng lọc sức khoẻ tâm thần (QST)")*(DREAMH!$C$2:$C$766&gt;=2)*(DREAMH!$BC$2:$BC$766&gt;=4)*(DREAMH!$BC$2:$BC$766&lt;=5)*(INDEX(DREAMH!$K$2:$K$766,MATCH(DREAMH!$A$2:$A$766,DREAMH!$A$2:$A$766,0))="Người sống chung với HIV (PLHIV)"))</f>
        <v>0</v>
      </c>
      <c r="H22" s="79" cm="1">
        <f t="array" ref="H22">SUMPRODUCT((DREAMH!$D$2:$D$766="Về nhà")*(DREAMH!$B$2:$B$766="F3. Bảng hỏi sàng lọc sức khoẻ tâm thần (QST)")*(DREAMH!$C$2:$C$766&gt;=2)*(DREAMH!$BC$2:$BC$766&gt;=4)*(DREAMH!$BC$2:$BC$766&lt;=5)*(INDEX(DREAMH!$K$2:$K$766,MATCH(DREAMH!$A$2:$A$766,DREAMH!$A$2:$A$766,0))="Người chuyển giới (TG)"))</f>
        <v>0</v>
      </c>
      <c r="I22" s="78" cm="1">
        <f t="array" ref="I22">SUMPRODUCT((DREAMH!$D$2:$D$766="Về nhà")*(DREAMH!$B$2:$B$766="F3. Bảng hỏi sàng lọc sức khoẻ tâm thần (QST)")*(DREAMH!$C$2:$C$766&gt;=2)*(DREAMH!$BC$2:$BC$766&gt;=4)*(DREAMH!$BC$2:$BC$766&lt;=5)*(INDEX(DREAMH!$K$2:$K$766,MATCH(DREAMH!$A$2:$A$766,DREAMH!$A$2:$A$766,0))="Người bán dâm (SW)"))</f>
        <v>0</v>
      </c>
      <c r="J22" s="78" cm="1">
        <f t="array" ref="J22">SUMPRODUCT((DREAMH!$D$2:$D$766="Về nhà")*(DREAMH!$B$2:$B$766="F3. Bảng hỏi sàng lọc sức khoẻ tâm thần (QST)")*(DREAMH!$C$2:$C$766&gt;=2)*(DREAMH!$BC$2:$BC$766&gt;=4)*(DREAMH!$BC$2:$BC$766&lt;=5)*(INDEX(DREAMH!$K$2:$K$766,MATCH(DREAMH!$A$2:$A$766,DREAMH!$A$2:$A$766,0))="Nam quan hệ tình dục đồng giới (MSM)"))</f>
        <v>0</v>
      </c>
      <c r="K22" s="37" t="s">
        <v>35</v>
      </c>
      <c r="L22" s="37" t="s">
        <v>35</v>
      </c>
      <c r="M22" s="37" t="s">
        <v>35</v>
      </c>
      <c r="N22" s="37" t="s">
        <v>35</v>
      </c>
      <c r="O22" s="42"/>
      <c r="P22" s="31"/>
    </row>
    <row r="23" spans="2:16" s="8" customFormat="1" ht="18" customHeight="1" x14ac:dyDescent="0.3">
      <c r="B23" s="20"/>
      <c r="C23" s="43"/>
      <c r="D23" s="44" t="s">
        <v>55</v>
      </c>
      <c r="E23" s="79" cm="1">
        <f t="array" ref="E23">SUMPRODUCT((DREAMH!$D$2:$D$766="Về nhà")*(DREAMH!$B$2:$B$766="F3. Bảng hỏi sàng lọc sức khoẻ tâm thần (QST)")*(DREAMH!$C$2:$C$766&gt;=2)*(DREAMH!$BC$2:$BC$766&lt;4))</f>
        <v>0</v>
      </c>
      <c r="F23" s="79" cm="1">
        <f t="array" ref="F23">SUMPRODUCT((DREAMH!$D$2:$D$766="Về nhà")*(DREAMH!$B$2:$B$766="F3. Bảng hỏi sàng lọc sức khoẻ tâm thần (QST)")*(DREAMH!$C$2:$C$766&gt;=2)*(DREAMH!$BC$2:$BC$766&lt;4)*(INDEX(DREAMH!$K$2:$K$766,MATCH(DREAMH!$A$2:$A$766,DREAMH!$A$2:$A$766,0))="Người sử dụng ma túy (PUD)"))</f>
        <v>0</v>
      </c>
      <c r="G23" s="79" cm="1">
        <f t="array" ref="G23">SUMPRODUCT((DREAMH!$D$2:$D$766="Về nhà")*(DREAMH!$B$2:$B$766="F3. Bảng hỏi sàng lọc sức khoẻ tâm thần (QST)")*(DREAMH!$C$2:$C$766&gt;=2)*(DREAMH!$BC$2:$BC$766&lt;4)*(INDEX(DREAMH!$K$2:$K$766,MATCH(DREAMH!$A$2:$A$766,DREAMH!$A$2:$A$766,0))="Người sống chung với HIV (PLHIV)"))</f>
        <v>0</v>
      </c>
      <c r="H23" s="79" cm="1">
        <f t="array" ref="H23">SUMPRODUCT((DREAMH!$D$2:$D$766="Về nhà")*(DREAMH!$B$2:$B$766="F3. Bảng hỏi sàng lọc sức khoẻ tâm thần (QST)")*(DREAMH!$C$2:$C$766&gt;=2)*(DREAMH!$BC$2:$BC$766&lt;4)*(INDEX(DREAMH!$K$2:$K$766,MATCH(DREAMH!$A$2:$A$766,DREAMH!$A$2:$A$766,0))="Người chuyển giới (TG)"))</f>
        <v>0</v>
      </c>
      <c r="I23" s="78" cm="1">
        <f t="array" ref="I23">SUMPRODUCT((DREAMH!$D$2:$D$766="Về nhà")*(DREAMH!$B$2:$B$766="F3. Bảng hỏi sàng lọc sức khoẻ tâm thần (QST)")*(DREAMH!$C$2:$C$766&gt;=2)*(DREAMH!$BC$2:$BC$766&lt;4)*(INDEX(DREAMH!$K$2:$K$766,MATCH(DREAMH!$A$2:$A$766,DREAMH!$A$2:$A$766,0))="Người bán dâm (SW)"))</f>
        <v>0</v>
      </c>
      <c r="J23" s="78" cm="1">
        <f t="array" ref="J23">SUMPRODUCT((DREAMH!$D$2:$D$766="Về nhà")*(DREAMH!$B$2:$B$766="F3. Bảng hỏi sàng lọc sức khoẻ tâm thần (QST)")*(DREAMH!$C$2:$C$766&gt;=2)*(DREAMH!$BC$2:$BC$766&lt;4)*(INDEX(DREAMH!$K$2:$K$766,MATCH(DREAMH!$A$2:$A$766,DREAMH!$A$2:$A$766,0))="Nam quan hệ tình dục đồng giới (MSM)"))</f>
        <v>0</v>
      </c>
      <c r="K23" s="37" t="s">
        <v>35</v>
      </c>
      <c r="L23" s="37" t="s">
        <v>35</v>
      </c>
      <c r="M23" s="37" t="s">
        <v>35</v>
      </c>
      <c r="N23" s="37" t="s">
        <v>35</v>
      </c>
      <c r="O23" s="42"/>
      <c r="P23" s="31"/>
    </row>
    <row r="24" spans="2:16" s="8" customFormat="1" ht="18" customHeight="1" x14ac:dyDescent="0.3">
      <c r="B24" s="39">
        <v>3</v>
      </c>
      <c r="C24" s="45" t="s">
        <v>59</v>
      </c>
      <c r="D24" s="44"/>
      <c r="E24" s="79" cm="1">
        <f t="array" ref="E24">SUMPRODUCT((DREAMH!$D$2:$D$766="Về nhà")*(DREAMH!$B$2:$B$766="F6. Thông tin chẩn đoán và điều trị"))</f>
        <v>12</v>
      </c>
      <c r="F24" s="79" cm="1">
        <f t="array" ref="F24">SUMPRODUCT((DREAMH!$D$2:$D$766="Về nhà")*(DREAMH!$B$2:$B$766="F6. Thông tin chẩn đoán và điều trị")*(INDEX(DREAMH!$K$2:$K$766,MATCH(DREAMH!$A$2:$A$766,DREAMH!$A$2:$A$766,0))="Người sử dụng ma túy (PUD)"))</f>
        <v>8</v>
      </c>
      <c r="G24" s="79" cm="1">
        <f t="array" ref="G24">SUMPRODUCT((DREAMH!$D$2:$D$766="Về nhà")*(DREAMH!$B$2:$B$766="F6. Thông tin chẩn đoán và điều trị")*(INDEX(DREAMH!$K$2:$K$766,MATCH(DREAMH!$A$2:$A$766,DREAMH!$A$2:$A$766,0))="Người sống chung với HIV (PLHIV)"))</f>
        <v>3</v>
      </c>
      <c r="H24" s="79" cm="1">
        <f t="array" ref="H24">SUMPRODUCT((DREAMH!$D$2:$D$766="Về nhà")*(DREAMH!$B$2:$B$766="F6. Thông tin chẩn đoán và điều trị")*(INDEX(DREAMH!$K$2:$K$766,MATCH(DREAMH!$A$2:$A$766,DREAMH!$A$2:$A$766,0))="Người chuyển giới (TG)"))</f>
        <v>0</v>
      </c>
      <c r="I24" s="78" cm="1">
        <f t="array" ref="I24">SUMPRODUCT((DREAMH!$D$2:$D$766="Về nhà")*(DREAMH!$B$2:$B$766="F6. Thông tin chẩn đoán và điều trị")*(INDEX(DREAMH!$K$2:$K$766,MATCH(DREAMH!$A$2:$A$766,DREAMH!$A$2:$A$766,0))="Người bán dâm (SW)"))</f>
        <v>1</v>
      </c>
      <c r="J24" s="78" cm="1">
        <f t="array" ref="J24">SUMPRODUCT((DREAMH!$D$2:$D$766="Về nhà")*(DREAMH!$B$2:$B$766="F6. Thông tin chẩn đoán và điều trị")*(INDEX(DREAMH!$K$2:$K$766,MATCH(DREAMH!$A$2:$A$766,DREAMH!$A$2:$A$766,0))="Nam quan hệ tình dục đồng giới (MSM)"))</f>
        <v>0</v>
      </c>
      <c r="K24" s="37" t="s">
        <v>35</v>
      </c>
      <c r="L24" s="37" t="s">
        <v>35</v>
      </c>
      <c r="M24" s="37" t="s">
        <v>35</v>
      </c>
      <c r="N24" s="37" t="s">
        <v>35</v>
      </c>
      <c r="O24" s="42"/>
      <c r="P24" s="31" t="s">
        <v>60</v>
      </c>
    </row>
    <row r="25" spans="2:16" s="8" customFormat="1" ht="17.25" customHeight="1" x14ac:dyDescent="0.3">
      <c r="B25" s="39">
        <v>4</v>
      </c>
      <c r="C25" s="45" t="s">
        <v>61</v>
      </c>
      <c r="D25" s="46"/>
      <c r="E25" s="79" cm="1">
        <f t="array" ref="E25">SUMPRODUCT((DREAMH!$D$2:$D$766="Về nhà")*(DREAMH!$B$2:$B$766="F6. Thông tin chẩn đoán và điều trị") / (COUNTIFS(DREAMH!$A$2:$A$766, DREAMH!$A$2:$A$766, DREAMH!$B$2:$B$766, "F6. Thông tin chẩn đoán và điều trị") + (COUNTIFS(DREAMH!$A$2:$A$766, DREAMH!$A$2:$A$766, DREAMH!$B$2:$B$766, "F6. Thông tin chẩn đoán và điều trị")=0)))</f>
        <v>12</v>
      </c>
      <c r="F25" s="79" cm="1">
        <f t="array" ref="F25">SUMPRODUCT((DREAMH!$D$2:$D$766="Về nhà")*(DREAMH!$B$2:$B$766="F6. Thông tin chẩn đoán và điều trị")*(INDEX(DREAMH!$K$2:$K$766,MATCH(DREAMH!$A$2:$A$766,DREAMH!$A$2:$A$766,0))="Người sử dụng ma túy (PUD)"))</f>
        <v>8</v>
      </c>
      <c r="G25" s="79" cm="1">
        <f t="array" ref="G25">SUMPRODUCT((DREAMH!$D$2:$D$766="Về nhà")*(DREAMH!$B$2:$B$766="F6. Thông tin chẩn đoán và điều trị")*(INDEX(DREAMH!$K$2:$K$766,MATCH(DREAMH!$A$2:$A$766,DREAMH!$A$2:$A$766,0))="Người sống chung với HIV (PLHIV)"))</f>
        <v>3</v>
      </c>
      <c r="H25" s="79" cm="1">
        <f t="array" ref="H25">SUMPRODUCT((DREAMH!$D$2:$D$766="Về nhà")*(DREAMH!$B$2:$B$766="F6. Thông tin chẩn đoán và điều trị")*(INDEX(DREAMH!$K$2:$K$766,MATCH(DREAMH!$A$2:$A$766,DREAMH!$A$2:$A$766,0))="Người chuyển giới (TG)"))</f>
        <v>0</v>
      </c>
      <c r="I25" s="78" cm="1">
        <f t="array" ref="I25">SUMPRODUCT((DREAMH!$D$2:$D$766="Về nhà")*(DREAMH!$B$2:$B$766="F6. Thông tin chẩn đoán và điều trị")*(INDEX(DREAMH!$K$2:$K$766,MATCH(DREAMH!$A$2:$A$766,DREAMH!$A$2:$A$766,0))="Người bán dâm (SW)"))</f>
        <v>1</v>
      </c>
      <c r="J25" s="78" cm="1">
        <f t="array" ref="J25">SUMPRODUCT((DREAMH!$D$2:$D$766="Về nhà")*(DREAMH!$B$2:$B$766="F6. Thông tin chẩn đoán và điều trị")*(INDEX(DREAMH!$K$2:$K$766,MATCH(DREAMH!$A$2:$A$766,DREAMH!$A$2:$A$766,0))="Nam quan hệ tình dục đồng giới (MSM)"))</f>
        <v>0</v>
      </c>
      <c r="K25" s="37" t="s">
        <v>35</v>
      </c>
      <c r="L25" s="37" t="s">
        <v>35</v>
      </c>
      <c r="M25" s="37" t="s">
        <v>35</v>
      </c>
      <c r="N25" s="37" t="s">
        <v>35</v>
      </c>
      <c r="O25" s="91" t="s">
        <v>62</v>
      </c>
      <c r="P25" s="31"/>
    </row>
    <row r="26" spans="2:16" s="8" customFormat="1" ht="18" customHeight="1" x14ac:dyDescent="0.3">
      <c r="B26" s="47"/>
      <c r="C26" s="48" t="s">
        <v>63</v>
      </c>
      <c r="D26" s="46"/>
      <c r="E26" s="79" cm="1">
        <f t="array" ref="E26">SUMPRODUCT((DREAMH!$D$2:$D$766="Về nhà")*(DREAMH!$B$2:$B$766="F6. Thông tin chẩn đoán và điều trị")*(DREAMH!$DA$2:$DA$766="Khám lần đầu"))</f>
        <v>12</v>
      </c>
      <c r="F26" s="79" cm="1">
        <f t="array" ref="F26">SUMPRODUCT((DREAMH!$D$2:$D$766="Về nhà")*(DREAMH!$B$2:$B$766="F6. Thông tin chẩn đoán và điều trị")*(DREAMH!$DA$2:$DA$766="Khám lần đầu")*(INDEX(DREAMH!$K$2:$K$766,MATCH(DREAMH!$A$2:$A$766,DREAMH!$A$2:$A$766,0))="Người sử dụng ma túy (PUD)"))</f>
        <v>8</v>
      </c>
      <c r="G26" s="79" cm="1">
        <f t="array" ref="G26">SUMPRODUCT((DREAMH!$D$2:$D$766="Về nhà")*(DREAMH!$B$2:$B$766="F6. Thông tin chẩn đoán và điều trị")*(DREAMH!$DA$2:$DA$766="Khám lần đầu")*(INDEX(DREAMH!$K$2:$K$766,MATCH(DREAMH!$A$2:$A$766,DREAMH!$A$2:$A$766,0))="Người sống chung với HIV (PLHIV)"))</f>
        <v>3</v>
      </c>
      <c r="H26" s="79" cm="1">
        <f t="array" ref="H26">SUMPRODUCT((DREAMH!$D$2:$D$766="Về nhà")*(DREAMH!$B$2:$B$766="F6. Thông tin chẩn đoán và điều trị")*(DREAMH!$DA$2:$DA$766="Khám lần đầu")*(INDEX(DREAMH!$K$2:$K$766,MATCH(DREAMH!$A$2:$A$766,DREAMH!$A$2:$A$766,0))="Người chuyển giới (TG)"))</f>
        <v>0</v>
      </c>
      <c r="I26" s="78" cm="1">
        <f t="array" ref="I26">SUMPRODUCT((DREAMH!$D$2:$D$766="Về nhà")*(DREAMH!$B$2:$B$766="F6. Thông tin chẩn đoán và điều trị")*(DREAMH!$DA$2:$DA$766="Khám lần đầu")*(INDEX(DREAMH!$K$2:$K$766,MATCH(DREAMH!$A$2:$A$766,DREAMH!$A$2:$A$766,0))="Người bán dâm (SW)"))</f>
        <v>1</v>
      </c>
      <c r="J26" s="78" cm="1">
        <f t="array" ref="J26">SUMPRODUCT((DREAMH!$D$2:$D$766="Về nhà")*(DREAMH!$B$2:$B$766="F6. Thông tin chẩn đoán và điều trị")*(DREAMH!$DA$2:$DA$766="Khám lần đầu")*(INDEX(DREAMH!$K$2:$K$766,MATCH(DREAMH!$A$2:$A$766,DREAMH!$A$2:$A$766,0))="Nam quan hệ tình dục đồng giới (MSM)"))</f>
        <v>0</v>
      </c>
      <c r="K26" s="37" t="s">
        <v>35</v>
      </c>
      <c r="L26" s="37" t="s">
        <v>35</v>
      </c>
      <c r="M26" s="37" t="s">
        <v>35</v>
      </c>
      <c r="N26" s="37" t="s">
        <v>35</v>
      </c>
      <c r="O26" s="91"/>
      <c r="P26" s="31"/>
    </row>
    <row r="27" spans="2:16" s="8" customFormat="1" ht="18" customHeight="1" x14ac:dyDescent="0.3">
      <c r="B27" s="47"/>
      <c r="C27" s="48" t="s">
        <v>64</v>
      </c>
      <c r="D27" s="46"/>
      <c r="E27" s="79" cm="1">
        <f t="array" ref="E27">SUMPRODUCT((DREAMH!$D$2:$D$766="Về nhà")*(DREAMH!$B$2:$B$766="F6. Thông tin chẩn đoán và điều trị")*(DREAMH!$DA$2:$DA$766="Tái khám"))</f>
        <v>0</v>
      </c>
      <c r="F27" s="79" cm="1">
        <f t="array" ref="F27">SUMPRODUCT((DREAMH!$D$2:$D$766="Về nhà")*(DREAMH!$B$2:$B$766="F6. Thông tin chẩn đoán và điều trị")*(DREAMH!$DA$2:$DA$766="Tái khám")*(INDEX(DREAMH!$K$2:$K$766,MATCH(DREAMH!$A$2:$A$766,DREAMH!$A$2:$A$766,0))="Người sử dụng ma túy (PUD)"))</f>
        <v>0</v>
      </c>
      <c r="G27" s="79" cm="1">
        <f t="array" ref="G27">SUMPRODUCT((DREAMH!$D$2:$D$766="Về nhà")*(DREAMH!$B$2:$B$766="F6. Thông tin chẩn đoán và điều trị")*(DREAMH!$DA$2:$DA$766="Tái khám")*(INDEX(DREAMH!$K$2:$K$766,MATCH(DREAMH!$A$2:$A$766,DREAMH!$A$2:$A$766,0))="Người sống chung với HIV (PLHIV)"))</f>
        <v>0</v>
      </c>
      <c r="H27" s="79" cm="1">
        <f t="array" ref="H27">SUMPRODUCT((DREAMH!$D$2:$D$766="Về nhà")*(DREAMH!$B$2:$B$766="F6. Thông tin chẩn đoán và điều trị")*(DREAMH!$DA$2:$DA$766="Tái khám")*(INDEX(DREAMH!$K$2:$K$766,MATCH(DREAMH!$A$2:$A$766,DREAMH!$A$2:$A$766,0))="Người chuyển giới (TG)"))</f>
        <v>0</v>
      </c>
      <c r="I27" s="78" cm="1">
        <f t="array" ref="I27">SUMPRODUCT((DREAMH!$D$2:$D$766="Về nhà")*(DREAMH!$B$2:$B$766="F6. Thông tin chẩn đoán và điều trị")*(DREAMH!$DA$2:$DA$766="Tái khám")*(INDEX(DREAMH!$K$2:$K$766,MATCH(DREAMH!$A$2:$A$766,DREAMH!$A$2:$A$766,0))="Người bán dâm (SW)"))</f>
        <v>0</v>
      </c>
      <c r="J27" s="78" cm="1">
        <f t="array" ref="J27">SUMPRODUCT((DREAMH!$D$2:$D$766="Về nhà")*(DREAMH!$B$2:$B$766="F6. Thông tin chẩn đoán và điều trị")*(DREAMH!$DA$2:$DA$766="Tái khám")*(INDEX(DREAMH!$K$2:$K$766,MATCH(DREAMH!$A$2:$A$766,DREAMH!$A$2:$A$766,0))="Nam quan hệ tình dục đồng giới (MSM)"))</f>
        <v>0</v>
      </c>
      <c r="K27" s="37" t="s">
        <v>35</v>
      </c>
      <c r="L27" s="37" t="s">
        <v>35</v>
      </c>
      <c r="M27" s="37" t="s">
        <v>35</v>
      </c>
      <c r="N27" s="37" t="s">
        <v>35</v>
      </c>
      <c r="O27" s="91"/>
      <c r="P27" s="31"/>
    </row>
    <row r="28" spans="2:16" s="8" customFormat="1" ht="18" customHeight="1" x14ac:dyDescent="0.3">
      <c r="B28" s="47"/>
      <c r="C28" s="48" t="s">
        <v>65</v>
      </c>
      <c r="D28" s="46"/>
      <c r="E28" s="79" cm="1">
        <f t="array" ref="E28">SUMPRODUCT((DREAMH!$D$2:$D$766="Về nhà")*(DREAMH!$B$2:$B$766="F6. Thông tin chẩn đoán và điều trị")*(DREAMH!$DA$2:$DA$766="Tái khám"))</f>
        <v>0</v>
      </c>
      <c r="F28" s="79" cm="1">
        <f t="array" ref="F28">SUMPRODUCT((DREAMH!$D$2:$D$766="Về nhà")*(DREAMH!$B$2:$B$766="F6. Thông tin chẩn đoán và điều trị")*(DREAMH!$DA$2:$DA$766="Tái khám")*(INDEX(DREAMH!$K$2:$K$766,MATCH(DREAMH!$A$2:$A$766,DREAMH!$A$2:$A$766,0))="Người sử dụng ma túy (PUD)"))</f>
        <v>0</v>
      </c>
      <c r="G28" s="79" cm="1">
        <f t="array" ref="G28">SUMPRODUCT((DREAMH!$D$2:$D$766="Về nhà")*(DREAMH!$B$2:$B$766="F6. Thông tin chẩn đoán và điều trị")*(DREAMH!$DA$2:$DA$766="Tái khám")*(INDEX(DREAMH!$K$2:$K$766,MATCH(DREAMH!$A$2:$A$766,DREAMH!$A$2:$A$766,0))="Người sống chung với HIV (PLHIV)"))</f>
        <v>0</v>
      </c>
      <c r="H28" s="79" cm="1">
        <f t="array" ref="H28">SUMPRODUCT((DREAMH!$D$2:$D$766="Về nhà")*(DREAMH!$B$2:$B$766="F6. Thông tin chẩn đoán và điều trị")*(DREAMH!$DA$2:$DA$766="Tái khám")*(INDEX(DREAMH!$K$2:$K$766,MATCH(DREAMH!$A$2:$A$766,DREAMH!$A$2:$A$766,0))="Người chuyển giới (TG)"))</f>
        <v>0</v>
      </c>
      <c r="I28" s="78" cm="1">
        <f t="array" ref="I28">SUMPRODUCT((DREAMH!$D$2:$D$766="Về nhà")*(DREAMH!$B$2:$B$766="F6. Thông tin chẩn đoán và điều trị")*(DREAMH!$DA$2:$DA$766="Tái khám")*(INDEX(DREAMH!$K$2:$K$766,MATCH(DREAMH!$A$2:$A$766,DREAMH!$A$2:$A$766,0))="Người bán dâm (SW)"))</f>
        <v>0</v>
      </c>
      <c r="J28" s="78" cm="1">
        <f t="array" ref="J28">SUMPRODUCT((DREAMH!$D$2:$D$766="Về nhà")*(DREAMH!$B$2:$B$766="F6. Thông tin chẩn đoán và điều trị")*(DREAMH!$DA$2:$DA$766="Tái khám")*(INDEX(DREAMH!$K$2:$K$766,MATCH(DREAMH!$A$2:$A$766,DREAMH!$A$2:$A$766,0))="Nam quan hệ tình dục đồng giới (MSM)"))</f>
        <v>0</v>
      </c>
      <c r="K28" s="37" t="s">
        <v>35</v>
      </c>
      <c r="L28" s="37" t="s">
        <v>35</v>
      </c>
      <c r="M28" s="37" t="s">
        <v>35</v>
      </c>
      <c r="N28" s="37" t="s">
        <v>35</v>
      </c>
      <c r="O28" s="91"/>
      <c r="P28" s="31"/>
    </row>
    <row r="29" spans="2:16" s="8" customFormat="1" ht="18" customHeight="1" x14ac:dyDescent="0.3">
      <c r="B29" s="39">
        <v>5</v>
      </c>
      <c r="C29" s="45" t="s">
        <v>66</v>
      </c>
      <c r="D29" s="46"/>
      <c r="E29" s="79" cm="1">
        <f t="array" ref="E29">SUMPRODUCT((DREAMH!$D$2:$D$766="Về nhà")*(DREAMH!$B$2:$B$766="F6. Thông tin chẩn đoán và điều trị")*(DREAMH!$DL$2:$DL$766="Chọn"))</f>
        <v>1</v>
      </c>
      <c r="F29" s="79" cm="1">
        <f t="array" ref="F29">SUMPRODUCT((DREAMH!$D$2:$D$766="Về nhà")*(DREAMH!$B$2:$B$766="F6. Thông tin chẩn đoán và điều trị")*(DREAMH!$DL$2:$DL$766="Chọn")*(INDEX(DREAMH!$K$2:$K$766,MATCH(DREAMH!$A$2:$A$766,DREAMH!$A$2:$A$766,0))="Người sử dụng ma túy (PUD)"))</f>
        <v>0</v>
      </c>
      <c r="G29" s="79" cm="1">
        <f t="array" ref="G29">SUMPRODUCT((DREAMH!$D$2:$D$766="Về nhà")*(DREAMH!$B$2:$B$766="F6. Thông tin chẩn đoán và điều trị")*(DREAMH!$DL$2:$DL$766="Chọn")*(INDEX(DREAMH!$K$2:$K$766,MATCH(DREAMH!$A$2:$A$766,DREAMH!$A$2:$A$766,0))="Người sống chung với HIV (PLHIV)"))</f>
        <v>0</v>
      </c>
      <c r="H29" s="79" cm="1">
        <f t="array" ref="H29">SUMPRODUCT((DREAMH!$D$2:$D$766="Về nhà")*(DREAMH!$B$2:$B$766="F6. Thông tin chẩn đoán và điều trị")*(DREAMH!$DL$2:$DL$766="Chọn")*(INDEX(DREAMH!$K$2:$K$766,MATCH(DREAMH!$A$2:$A$766,DREAMH!$A$2:$A$766,0))="Người chuyển giới (TG)"))</f>
        <v>0</v>
      </c>
      <c r="I29" s="78" cm="1">
        <f t="array" ref="I29">SUMPRODUCT((DREAMH!$D$2:$D$766="Về nhà")*(DREAMH!$B$2:$B$766="F6. Thông tin chẩn đoán và điều trị")*(DREAMH!$DL$2:$DL$766="Chọn")*(INDEX(DREAMH!$K$2:$K$766,MATCH(DREAMH!$A$2:$A$766,DREAMH!$A$2:$A$766,0))="Người bán dâm (SW)"))</f>
        <v>1</v>
      </c>
      <c r="J29" s="78" cm="1">
        <f t="array" ref="J29">SUMPRODUCT((DREAMH!$D$2:$D$766="Về nhà")*(DREAMH!$B$2:$B$766="F6. Thông tin chẩn đoán và điều trị")*(DREAMH!$DL$2:$DL$766="Chọn")*(INDEX(DREAMH!$K$2:$K$766,MATCH(DREAMH!$A$2:$A$766,DREAMH!$A$2:$A$766,0))="Nam quan hệ tình dục đồng giới (MSM)"))</f>
        <v>0</v>
      </c>
      <c r="K29" s="37" t="s">
        <v>35</v>
      </c>
      <c r="L29" s="37" t="s">
        <v>35</v>
      </c>
      <c r="M29" s="37" t="s">
        <v>35</v>
      </c>
      <c r="N29" s="37" t="s">
        <v>35</v>
      </c>
      <c r="O29" s="91"/>
      <c r="P29" s="31"/>
    </row>
    <row r="30" spans="2:16" s="8" customFormat="1" ht="33" customHeight="1" x14ac:dyDescent="0.3">
      <c r="B30" s="39">
        <v>6</v>
      </c>
      <c r="C30" s="45" t="s">
        <v>67</v>
      </c>
      <c r="D30" s="46"/>
      <c r="E30" s="79" cm="1">
        <f t="array" ref="E30">SUMPRODUCT((DREAMH!$D$2:$D$766="Về nhà")*(DREAMH!$B$2:$B$766="F5. Phiếu hỗ trợ tuân thủ điều trị")*(DREAMH!$BG$2:$BG$766="Chọn"))</f>
        <v>0</v>
      </c>
      <c r="F30" s="79" cm="1">
        <f t="array" ref="F30">SUMPRODUCT((DREAMH!$D$2:$D$766="Về nhà")*(DREAMH!$B$2:$B$766="F5. Phiếu hỗ trợ tuân thủ điều trị")*(DREAMH!$BG$2:$BG$766="Chọn")*(INDEX(DREAMH!$K$2:$K$766,MATCH(DREAMH!$A$2:$A$766,DREAMH!$A$2:$A$766,0))="Người sử dụng ma túy (PUD)"))</f>
        <v>0</v>
      </c>
      <c r="G30" s="79" cm="1">
        <f t="array" ref="G30">SUMPRODUCT((DREAMH!$D$2:$D$766="Về nhà")*(DREAMH!$B$2:$B$766="F5. Phiếu hỗ trợ tuân thủ điều trị")*(DREAMH!$BG$2:$BG$766="Chọn")*(INDEX(DREAMH!$K$2:$K$766,MATCH(DREAMH!$A$2:$A$766,DREAMH!$A$2:$A$766,0))="Người sống chung với HIV (PLHIV)"))</f>
        <v>0</v>
      </c>
      <c r="H30" s="79" cm="1">
        <f t="array" ref="H30">SUMPRODUCT((DREAMH!$D$2:$D$766="Về nhà")*(DREAMH!$B$2:$B$766="F5. Phiếu hỗ trợ tuân thủ điều trị")*(DREAMH!$BG$2:$BG$766="Chọn")*(INDEX(DREAMH!$K$2:$K$766,MATCH(DREAMH!$A$2:$A$766,DREAMH!$A$2:$A$766,0))="Người chuyển giới (TG)"))</f>
        <v>0</v>
      </c>
      <c r="I30" s="78" cm="1">
        <f t="array" ref="I30">SUMPRODUCT((DREAMH!$D$2:$D$766="Về nhà")*(DREAMH!$B$2:$B$766="F5. Phiếu hỗ trợ tuân thủ điều trị")*(DREAMH!$BG$2:$BG$766="Chọn")*(INDEX(DREAMH!$K$2:$K$766,MATCH(DREAMH!$A$2:$A$766,DREAMH!$A$2:$A$766,0))="Người bán dâm (SW)"))</f>
        <v>0</v>
      </c>
      <c r="J30" s="78" cm="1">
        <f t="array" ref="J30">SUMPRODUCT((DREAMH!$D$2:$D$766="Về nhà")*(DREAMH!$B$2:$B$766="F5. Phiếu hỗ trợ tuân thủ điều trị")*(DREAMH!$BG$2:$BG$766="Chọn")*(INDEX(DREAMH!$K$2:$K$766,MATCH(DREAMH!$A$2:$A$766,DREAMH!$A$2:$A$766,0))="Nam quan hệ tình dục đồng giới (MSM)"))</f>
        <v>0</v>
      </c>
      <c r="K30" s="37" t="s">
        <v>35</v>
      </c>
      <c r="L30" s="37" t="s">
        <v>35</v>
      </c>
      <c r="M30" s="37" t="s">
        <v>35</v>
      </c>
      <c r="N30" s="37" t="s">
        <v>35</v>
      </c>
      <c r="O30" s="49" t="s">
        <v>68</v>
      </c>
      <c r="P30" s="31"/>
    </row>
    <row r="31" spans="2:16" s="50" customFormat="1" ht="16.5" customHeight="1" x14ac:dyDescent="0.3">
      <c r="B31" s="51" t="s">
        <v>69</v>
      </c>
      <c r="C31" s="52" t="s">
        <v>70</v>
      </c>
      <c r="D31" s="53"/>
      <c r="E31" s="79"/>
      <c r="F31" s="79"/>
      <c r="G31" s="79"/>
      <c r="H31" s="79"/>
      <c r="I31" s="78"/>
      <c r="J31" s="78"/>
      <c r="K31" s="54"/>
      <c r="L31" s="54"/>
      <c r="M31" s="54"/>
      <c r="N31" s="54"/>
      <c r="O31" s="91" t="s">
        <v>71</v>
      </c>
      <c r="P31" s="31"/>
    </row>
    <row r="32" spans="2:16" s="50" customFormat="1" ht="16.5" customHeight="1" x14ac:dyDescent="0.3">
      <c r="B32" s="55">
        <v>1</v>
      </c>
      <c r="C32" s="56" t="s">
        <v>72</v>
      </c>
      <c r="D32" s="2"/>
      <c r="E32" s="80" cm="1">
        <f t="array" ref="E32">SUMPRODUCT((DREAMH!$D$2:$D$766="Về nhà")*((DREAMH!$B$2:$B$766="F7. Phiếu tư vấn lần 1")+(DREAMH!$B$2:$B$766="F8. Phiếu tư vấn (từ lần 2)")))</f>
        <v>0</v>
      </c>
      <c r="F32" s="80" cm="1">
        <f t="array" ref="F32">SUMPRODUCT((DREAMH!$D$2:$D$766="Về nhà")*((DREAMH!$B$2:$B$766="F7. Phiếu tư vấn lần 1")+(DREAMH!$B$2:$B$766="F8. Phiếu tư vấn (từ lần 2)"))*(INDEX(DREAMH!$K$2:$K$766,MATCH(DREAMH!$A$2:$A$766,DREAMH!$A$2:$A$766,0))="Người sử dụng ma túy (PUD)"))</f>
        <v>0</v>
      </c>
      <c r="G32" s="80" cm="1">
        <f t="array" ref="G32">SUMPRODUCT((DREAMH!$D$2:$D$766="Về nhà")*((DREAMH!$B$2:$B$766="F7. Phiếu tư vấn lần 1")+(DREAMH!$B$2:$B$766="F8. Phiếu tư vấn (từ lần 2)"))*(INDEX(DREAMH!$K$2:$K$766,MATCH(DREAMH!$A$2:$A$766,DREAMH!$A$2:$A$766,0))="Người sống chung với HIV (PLHIV)"))</f>
        <v>0</v>
      </c>
      <c r="H32" s="80" cm="1">
        <f t="array" ref="H32">SUMPRODUCT((DREAMH!$D$2:$D$766="Về nhà")*((DREAMH!$B$2:$B$766="F7. Phiếu tư vấn lần 1")+(DREAMH!$B$2:$B$766="F8. Phiếu tư vấn (từ lần 2)"))*(INDEX(DREAMH!$K$2:$K$766,MATCH(DREAMH!$A$2:$A$766,DREAMH!$A$2:$A$766,0))="Người chuyển giới (TG)"))</f>
        <v>0</v>
      </c>
      <c r="I32" s="80" cm="1">
        <f t="array" ref="I32">SUMPRODUCT((DREAMH!$D$2:$D$766="Về nhà")*((DREAMH!$B$2:$B$766="F7. Phiếu tư vấn lần 1")+(DREAMH!$B$2:$B$766="F8. Phiếu tư vấn (từ lần 2)"))*(INDEX(DREAMH!$K$2:$K$766,MATCH(DREAMH!$A$2:$A$766,DREAMH!$A$2:$A$766,0))="Người bán dâm (SW)"))</f>
        <v>0</v>
      </c>
      <c r="J32" s="80" cm="1">
        <f t="array" ref="J32">SUMPRODUCT((DREAMH!$D$2:$D$766="Về nhà")*((DREAMH!$B$2:$B$766="F7. Phiếu tư vấn lần 1")+(DREAMH!$B$2:$B$766="F8. Phiếu tư vấn (từ lần 2)"))*(INDEX(DREAMH!$K$2:$K$766,MATCH(DREAMH!$A$2:$A$766,DREAMH!$A$2:$A$766,0))="Nam quan hệ tình dục đồng giới (MSM)"))</f>
        <v>0</v>
      </c>
      <c r="K32" s="37" t="s">
        <v>35</v>
      </c>
      <c r="L32" s="37" t="s">
        <v>35</v>
      </c>
      <c r="M32" s="37" t="s">
        <v>35</v>
      </c>
      <c r="N32" s="37" t="s">
        <v>35</v>
      </c>
      <c r="O32" s="91"/>
      <c r="P32" s="31"/>
    </row>
    <row r="33" spans="2:16" ht="18" customHeight="1" x14ac:dyDescent="0.3">
      <c r="B33" s="57">
        <v>2</v>
      </c>
      <c r="C33" s="92" t="s">
        <v>73</v>
      </c>
      <c r="D33" s="92"/>
      <c r="E33" s="80" cm="1">
        <f t="array" ref="E33">SUMPRODUCT((DREAMH!$D$2:$D$766="Về nhà")*(DREAMH!$B$2:$B$766="F7. Phiếu tư vấn lần 1"))</f>
        <v>0</v>
      </c>
      <c r="F33" s="80" cm="1">
        <f t="array" ref="F33">SUMPRODUCT((DREAMH!$D$2:$D$766="Về nhà")*(DREAMH!$B$2:$B$766="F7. Phiếu tư vấn lần 1")*(INDEX(DREAMH!$K$2:$K$766,MATCH(DREAMH!$A$2:$A$766,DREAMH!$A$2:$A$766,0))="Người sử dụng ma túy (PUD)"))</f>
        <v>0</v>
      </c>
      <c r="G33" s="80" cm="1">
        <f t="array" ref="G33">SUMPRODUCT((DREAMH!$D$2:$D$766="Về nhà")*(DREAMH!$B$2:$B$766="F7. Phiếu tư vấn lần 1")*(INDEX(DREAMH!$K$2:$K$766,MATCH(DREAMH!$A$2:$A$766,DREAMH!$A$2:$A$766,0))="Người sống chung với HIV (PLHIV)"))</f>
        <v>0</v>
      </c>
      <c r="H33" s="80" cm="1">
        <f t="array" ref="H33">SUMPRODUCT((DREAMH!$D$2:$D$766="Về nhà")*(DREAMH!$B$2:$B$766="F7. Phiếu tư vấn lần 1")*(INDEX(DREAMH!$K$2:$K$766,MATCH(DREAMH!$A$2:$A$766,DREAMH!$A$2:$A$766,0))="Người chuyển giới (TG)"))</f>
        <v>0</v>
      </c>
      <c r="I33" s="78" cm="1">
        <f t="array" ref="I33">SUMPRODUCT((DREAMH!$D$2:$D$766="Về nhà")*(DREAMH!$B$2:$B$766="F7. Phiếu tư vấn lần 1")*(INDEX(DREAMH!$K$2:$K$766,MATCH(DREAMH!$A$2:$A$766,DREAMH!$A$2:$A$766,0))="Người bán dâm (SW)"))</f>
        <v>0</v>
      </c>
      <c r="J33" s="78" cm="1">
        <f t="array" ref="J33">SUMPRODUCT((DREAMH!$D$2:$D$766="Về nhà")*(DREAMH!$B$2:$B$766="F7. Phiếu tư vấn lần 1")*(INDEX(DREAMH!$K$2:$K$766,MATCH(DREAMH!$A$2:$A$766,DREAMH!$A$2:$A$766,0))="Nam quan hệ tình dục đồng giới (MSM)"))</f>
        <v>0</v>
      </c>
      <c r="K33" s="37" t="s">
        <v>35</v>
      </c>
      <c r="L33" s="37" t="s">
        <v>35</v>
      </c>
      <c r="M33" s="37" t="s">
        <v>35</v>
      </c>
      <c r="N33" s="37" t="s">
        <v>35</v>
      </c>
      <c r="O33" s="91"/>
      <c r="P33" s="31"/>
    </row>
    <row r="34" spans="2:16" ht="18" customHeight="1" x14ac:dyDescent="0.3">
      <c r="B34" s="20"/>
      <c r="C34" s="58" t="s">
        <v>74</v>
      </c>
      <c r="D34" s="59"/>
      <c r="E34" s="81" cm="1">
        <f t="array" ref="E34">SUMPRODUCT((DREAMH!$D$2:$D$766="Về nhà")*(DREAMH!$B$2:$B$766="F7. Phiếu tư vấn lần 1")*(COUNTIFS(DREAMH!$A$2:$A$766, DREAMH!$A$2:$A$766, DREAMH!$B$2:$B$766, "F8. Phiếu tư vấn (từ lần 2)")=0))</f>
        <v>0</v>
      </c>
      <c r="F34" s="81" cm="1">
        <f t="array" ref="F34">SUMPRODUCT((DREAMH!$D$2:$D$766="Về nhà")*(DREAMH!$B$2:$B$766="F7. Phiếu tư vấn lần 1")*(COUNTIFS(DREAMH!$A$2:$A$766, DREAMH!$A$2:$A$766, DREAMH!$B$2:$B$766, "F8. Phiếu tư vấn (từ lần 2)")=0)*(INDEX(DREAMH!$K$2:$K$766,MATCH(DREAMH!$A$2:$A$766,DREAMH!$A$2:$A$766,0))="Người sử dụng ma túy (PUD)"))</f>
        <v>0</v>
      </c>
      <c r="G34" s="81" cm="1">
        <f t="array" ref="G34">SUMPRODUCT((DREAMH!$D$2:$D$766="Về nhà")*(DREAMH!$B$2:$B$766="F7. Phiếu tư vấn lần 1")*(COUNTIFS(DREAMH!$A$2:$A$766, DREAMH!$A$2:$A$766, DREAMH!$B$2:$B$766, "F8. Phiếu tư vấn (từ lần 2)")=0)*(INDEX(DREAMH!$K$2:$K$766,MATCH(DREAMH!$A$2:$A$766,DREAMH!$A$2:$A$766,0))="Người sống chung với HIV (PLHIV)"))</f>
        <v>0</v>
      </c>
      <c r="H34" s="81" cm="1">
        <f t="array" ref="H34">SUMPRODUCT((DREAMH!$D$2:$D$766="Về nhà")*(DREAMH!$B$2:$B$766="F7. Phiếu tư vấn lần 1")*(COUNTIFS(DREAMH!$A$2:$A$766, DREAMH!$A$2:$A$766, DREAMH!$B$2:$B$766, "F8. Phiếu tư vấn (từ lần 2)")=0)*(INDEX(DREAMH!$K$2:$K$766,MATCH(DREAMH!$A$2:$A$766,DREAMH!$A$2:$A$766,0))="Người chuyển giới (TG)"))</f>
        <v>0</v>
      </c>
      <c r="I34" s="78" cm="1">
        <f t="array" ref="I34">SUMPRODUCT((DREAMH!$D$2:$D$766="Về nhà")*(DREAMH!$B$2:$B$766="F7. Phiếu tư vấn lần 1")*(COUNTIFS(DREAMH!$A$2:$A$766, DREAMH!$A$2:$A$766, DREAMH!$B$2:$B$766, "F8. Phiếu tư vấn (từ lần 2)")=0)*(INDEX(DREAMH!$K$2:$K$766,MATCH(DREAMH!$A$2:$A$766,DREAMH!$A$2:$A$766,0))="Người bán dâm (SW)"))</f>
        <v>0</v>
      </c>
      <c r="J34" s="78" cm="1">
        <f t="array" ref="J34">SUMPRODUCT((DREAMH!$D$2:$D$766="Về nhà")*(DREAMH!$B$2:$B$766="F7. Phiếu tư vấn lần 1")*(COUNTIFS(DREAMH!$A$2:$A$766, DREAMH!$A$2:$A$766, DREAMH!$B$2:$B$766, "F8. Phiếu tư vấn (từ lần 2)")=0)*(INDEX(DREAMH!$K$2:$K$766,MATCH(DREAMH!$A$2:$A$766,DREAMH!$A$2:$A$766,0))="Nam quan hệ tình dục đồng giới (MSM)"))</f>
        <v>0</v>
      </c>
      <c r="K34" s="37"/>
      <c r="L34" s="37" t="s">
        <v>35</v>
      </c>
      <c r="M34" s="37" t="s">
        <v>35</v>
      </c>
      <c r="N34" s="37" t="s">
        <v>35</v>
      </c>
      <c r="O34" s="91"/>
      <c r="P34" s="31"/>
    </row>
    <row r="35" spans="2:16" ht="18" customHeight="1" x14ac:dyDescent="0.3">
      <c r="B35" s="20"/>
      <c r="C35" s="60" t="s">
        <v>75</v>
      </c>
      <c r="D35" s="56"/>
      <c r="E35" s="81" cm="1">
        <f t="array" ref="E35">SUMPRODUCT((DREAMH!$D$2:$D$766="Về nhà")*(DREAMH!$B$2:$B$766="F8. Phiếu tư vấn (từ lần 2)")*(COUNTIFS(DREAMH!$A$2:$A$766, DREAMH!$A$2:$A$766, DREAMH!$B$2:$B$766, "F8. Phiếu tư vấn (từ lần 2)")=1))</f>
        <v>0</v>
      </c>
      <c r="F35" s="81" cm="1">
        <f t="array" ref="F35">SUMPRODUCT((DREAMH!$D$2:$D$766="Về nhà")*(DREAMH!$B$2:$B$766="F8. Phiếu tư vấn (từ lần 2)")*(COUNTIFS(DREAMH!$A$2:$A$766, DREAMH!$A$2:$A$766, DREAMH!$B$2:$B$766, "F8. Phiếu tư vấn (từ lần 2)")=1)*(INDEX(DREAMH!$K$2:$K$766,MATCH(DREAMH!$A$2:$A$766,DREAMH!$A$2:$A$766,0))="Người sử dụng ma túy (PUD)"))</f>
        <v>0</v>
      </c>
      <c r="G35" s="81" cm="1">
        <f t="array" ref="G35">SUMPRODUCT((DREAMH!$D$2:$D$766="Về nhà")*(DREAMH!$B$2:$B$766="F8. Phiếu tư vấn (từ lần 2)")*(COUNTIFS(DREAMH!$A$2:$A$766, DREAMH!$A$2:$A$766, DREAMH!$B$2:$B$766, "F8. Phiếu tư vấn (từ lần 2)")=1)*(INDEX(DREAMH!$K$2:$K$766,MATCH(DREAMH!$A$2:$A$766,DREAMH!$A$2:$A$766,0))="Người sống chung với HIV (PLHIV)"))</f>
        <v>0</v>
      </c>
      <c r="H35" s="81" cm="1">
        <f t="array" ref="H35">SUMPRODUCT((DREAMH!$D$2:$D$766="Về nhà")*(DREAMH!$B$2:$B$766="F8. Phiếu tư vấn (từ lần 2)")*(COUNTIFS(DREAMH!$A$2:$A$766, DREAMH!$A$2:$A$766, DREAMH!$B$2:$B$766, "F8. Phiếu tư vấn (từ lần 2)")=1)*(INDEX(DREAMH!$K$2:$K$766,MATCH(DREAMH!$A$2:$A$766,DREAMH!$A$2:$A$766,0))="Người chuyển giới (TG)"))</f>
        <v>0</v>
      </c>
      <c r="I35" s="78" cm="1">
        <f t="array" ref="I35">SUMPRODUCT((DREAMH!$D$2:$D$766="Về nhà")*(DREAMH!$B$2:$B$766="F8. Phiếu tư vấn (từ lần 2)")*(COUNTIFS(DREAMH!$A$2:$A$766, DREAMH!$A$2:$A$766, DREAMH!$B$2:$B$766, "F8. Phiếu tư vấn (từ lần 2)")=1)*(INDEX(DREAMH!$K$2:$K$766,MATCH(DREAMH!$A$2:$A$766,DREAMH!$A$2:$A$766,0))="Người bán dâm (SW)"))</f>
        <v>0</v>
      </c>
      <c r="J35" s="78" cm="1">
        <f t="array" ref="J35">SUMPRODUCT((DREAMH!$D$2:$D$766="Về nhà")*(DREAMH!$B$2:$B$766="F8. Phiếu tư vấn (từ lần 2)")*(COUNTIFS(DREAMH!$A$2:$A$766, DREAMH!$A$2:$A$766, DREAMH!$B$2:$B$766, "F8. Phiếu tư vấn (từ lần 2)")=1)*(INDEX(DREAMH!$K$2:$K$766,MATCH(DREAMH!$A$2:$A$766,DREAMH!$A$2:$A$766,0))="Nam quan hệ tình dục đồng giới (MSM)"))</f>
        <v>0</v>
      </c>
      <c r="K35" s="37"/>
      <c r="L35" s="37" t="s">
        <v>35</v>
      </c>
      <c r="M35" s="37" t="s">
        <v>35</v>
      </c>
      <c r="N35" s="37" t="s">
        <v>35</v>
      </c>
      <c r="O35" s="91"/>
      <c r="P35" s="31"/>
    </row>
    <row r="36" spans="2:16" ht="18" customHeight="1" x14ac:dyDescent="0.3">
      <c r="B36" s="39"/>
      <c r="C36" s="61" t="s">
        <v>76</v>
      </c>
      <c r="D36" s="56"/>
      <c r="E36" s="81" cm="1">
        <f t="array" ref="E36">SUMPRODUCT((DREAMH!$D$2:$D$766="Về nhà")*(DREAMH!$B$2:$B$766="F8. Phiếu tư vấn (từ lần 2)")*(COUNTIFS(DREAMH!$A$2:$A$766, DREAMH!$A$2:$A$766, DREAMH!$B$2:$B$766, "F8. Phiếu tư vấn (từ lần 2)")&gt;=2) / (COUNTIFS(DREAMH!$A$2:$A$766, DREAMH!$A$2:$A$766, DREAMH!$B$2:$B$766, "F8. Phiếu tư vấn (từ lần 2)") + (COUNTIFS(DREAMH!$A$2:$A$766, DREAMH!$A$2:$A$766, DREAMH!$B$2:$B$766, "F8. Phiếu tư vấn (từ lần 2)")=0)))</f>
        <v>0</v>
      </c>
      <c r="F36" s="81" cm="1">
        <f t="array" ref="F36">SUMPRODUCT((DREAMH!$D$2:$D$766="Về nhà")*(DREAMH!$B$2:$B$766="F8. Phiếu tư vấn (từ lần 2)")*(COUNTIFS(DREAMH!$A$2:$A$766, DREAMH!$A$2:$A$766, DREAMH!$B$2:$B$766, "F8. Phiếu tư vấn (từ lần 2)")&gt;=2)*(INDEX(DREAMH!$K$2:$K$766,MATCH(DREAMH!$A$2:$A$766,DREAMH!$A$2:$A$766,0))="Người sử dụng ma túy (PUD)") / (COUNTIFS(DREAMH!$A$2:$A$766, DREAMH!$A$2:$A$766, DREAMH!$B$2:$B$766, "F8. Phiếu tư vấn (từ lần 2)") + (COUNTIFS(DREAMH!$A$2:$A$766, DREAMH!$A$2:$A$766, DREAMH!$B$2:$B$766, "F8. Phiếu tư vấn (từ lần 2)")=0)))</f>
        <v>0</v>
      </c>
      <c r="G36" s="81" cm="1">
        <f t="array" ref="G36">SUMPRODUCT((DREAMH!$D$2:$D$766="Về nhà")*(DREAMH!$B$2:$B$766="F8. Phiếu tư vấn (từ lần 2)")*(COUNTIFS(DREAMH!$A$2:$A$766, DREAMH!$A$2:$A$766, DREAMH!$B$2:$B$766, "F8. Phiếu tư vấn (từ lần 2)")&gt;=2)*(INDEX(DREAMH!$K$2:$K$766,MATCH(DREAMH!$A$2:$A$766,DREAMH!$A$2:$A$766,0))="Người sống chung với HIV (PLHIV)") / (COUNTIFS(DREAMH!$A$2:$A$766, DREAMH!$A$2:$A$766, DREAMH!$B$2:$B$766, "F8. Phiếu tư vấn (từ lần 2)") + (COUNTIFS(DREAMH!$A$2:$A$766, DREAMH!$A$2:$A$766, DREAMH!$B$2:$B$766, "F8. Phiếu tư vấn (từ lần 2)")=0)))</f>
        <v>0</v>
      </c>
      <c r="H36" s="81" cm="1">
        <f t="array" ref="H36">SUMPRODUCT((DREAMH!$D$2:$D$766="Về nhà")*(DREAMH!$B$2:$B$766="F8. Phiếu tư vấn (từ lần 2)")*(COUNTIFS(DREAMH!$A$2:$A$766, DREAMH!$A$2:$A$766, DREAMH!$B$2:$B$766, "F8. Phiếu tư vấn (từ lần 2)")&gt;=2)*(INDEX(DREAMH!$K$2:$K$766,MATCH(DREAMH!$A$2:$A$766,DREAMH!$A$2:$A$766,0))="Người chuyển giới (TG)") / (COUNTIFS(DREAMH!$A$2:$A$766, DREAMH!$A$2:$A$766, DREAMH!$B$2:$B$766, "F8. Phiếu tư vấn (từ lần 2)") + (COUNTIFS(DREAMH!$A$2:$A$766, DREAMH!$A$2:$A$766, DREAMH!$B$2:$B$766, "F8. Phiếu tư vấn (từ lần 2)")=0)))</f>
        <v>0</v>
      </c>
      <c r="I36" s="78" cm="1">
        <f t="array" ref="I36">SUMPRODUCT((DREAMH!$D$2:$D$766="Về nhà")*(DREAMH!$B$2:$B$766="F8. Phiếu tư vấn (từ lần 2)")*(COUNTIFS(DREAMH!$A$2:$A$766, DREAMH!$A$2:$A$766, DREAMH!$B$2:$B$766, "F8. Phiếu tư vấn (từ lần 2)")&gt;=2)*(INDEX(DREAMH!$K$2:$K$766,MATCH(DREAMH!$A$2:$A$766,DREAMH!$A$2:$A$766,0))="Người bán dâm (SW)") / (COUNTIFS(DREAMH!$A$2:$A$766, DREAMH!$A$2:$A$766, DREAMH!$B$2:$B$766, "F8. Phiếu tư vấn (từ lần 2)") + (COUNTIFS(DREAMH!$A$2:$A$766, DREAMH!$A$2:$A$766, DREAMH!$B$2:$B$766, "F8. Phiếu tư vấn (từ lần 2)")=0)))</f>
        <v>0</v>
      </c>
      <c r="J36" s="78" cm="1">
        <f t="array" ref="J36">SUMPRODUCT((DREAMH!$D$2:$D$766="Về nhà")*(DREAMH!$B$2:$B$766="F8. Phiếu tư vấn (từ lần 2)")*(COUNTIFS(DREAMH!$A$2:$A$766, DREAMH!$A$2:$A$766, DREAMH!$B$2:$B$766, "F8. Phiếu tư vấn (từ lần 2)")&gt;=2)*(INDEX(DREAMH!$K$2:$K$766,MATCH(DREAMH!$A$2:$A$766,DREAMH!$A$2:$A$766,0))="Nam quan hệ tình dục đồng giới (MSM)") / (COUNTIFS(DREAMH!$A$2:$A$766, DREAMH!$A$2:$A$766, DREAMH!$B$2:$B$766, "F8. Phiếu tư vấn (từ lần 2)") + (COUNTIFS(DREAMH!$A$2:$A$766, DREAMH!$A$2:$A$766, DREAMH!$B$2:$B$766, "F8. Phiếu tư vấn (từ lần 2)")=0)))</f>
        <v>0</v>
      </c>
      <c r="K36" s="37"/>
      <c r="L36" s="37" t="s">
        <v>35</v>
      </c>
      <c r="M36" s="37" t="s">
        <v>35</v>
      </c>
      <c r="N36" s="37" t="s">
        <v>35</v>
      </c>
      <c r="O36" s="91"/>
      <c r="P36" s="31"/>
    </row>
    <row r="37" spans="2:16" ht="18" customHeight="1" x14ac:dyDescent="0.3">
      <c r="B37" s="20">
        <v>3</v>
      </c>
      <c r="C37" s="56" t="s">
        <v>77</v>
      </c>
      <c r="D37" s="62"/>
      <c r="E37" s="81" cm="1">
        <f t="array" ref="E37">SUMPRODUCT((DREAMH!$D$2:$D$766="Về nhà")*(DREAMH!$B$2:$B$766="F2. Truyền thông, sinh hoạt nhóm, vòng tròn chia sẻ, trị liệu nghệ thuật")*(DREAMH!$AA$2:$AA$766="Sinh hoạt nhóm"))</f>
        <v>0</v>
      </c>
      <c r="F37" s="81" cm="1">
        <f t="array" ref="F37">SUMPRODUCT((DREAMH!$D$2:$D$766="Về nhà")*(DREAMH!$B$2:$B$766="F2. Truyền thông, sinh hoạt nhóm, vòng tròn chia sẻ, trị liệu nghệ thuật")*(DREAMH!$AA$2:$AA$766="Sinh hoạt nhóm")*(INDEX(DREAMH!$K$2:$K$766,MATCH(DREAMH!$A$2:$A$766,DREAMH!$A$2:$A$766,0))="Người sử dụng ma túy (PUD)"))</f>
        <v>0</v>
      </c>
      <c r="G37" s="81" cm="1">
        <f t="array" ref="G37">SUMPRODUCT((DREAMH!$D$2:$D$766="Về nhà")*(DREAMH!$B$2:$B$766="F2. Truyền thông, sinh hoạt nhóm, vòng tròn chia sẻ, trị liệu nghệ thuật")*(DREAMH!$AA$2:$AA$766="Sinh hoạt nhóm")*(INDEX(DREAMH!$K$2:$K$766,MATCH(DREAMH!$A$2:$A$766,DREAMH!$A$2:$A$766,0))="Người sống chung với HIV (PLHIV)"))</f>
        <v>0</v>
      </c>
      <c r="H37" s="81" cm="1">
        <f t="array" ref="H37">SUMPRODUCT((DREAMH!$D$2:$D$766="Về nhà")*(DREAMH!$B$2:$B$766="F2. Truyền thông, sinh hoạt nhóm, vòng tròn chia sẻ, trị liệu nghệ thuật")*(DREAMH!$AA$2:$AA$766="Sinh hoạt nhóm")*(INDEX(DREAMH!$K$2:$K$766,MATCH(DREAMH!$A$2:$A$766,DREAMH!$A$2:$A$766,0))="Người chuyển giới (TG)"))</f>
        <v>0</v>
      </c>
      <c r="I37" s="78" cm="1">
        <f t="array" ref="I37">SUMPRODUCT((DREAMH!$D$2:$D$766="Về nhà")*(DREAMH!$B$2:$B$766="F2. Truyền thông, sinh hoạt nhóm, vòng tròn chia sẻ, trị liệu nghệ thuật")*(DREAMH!$AA$2:$AA$766="Sinh hoạt nhóm")*(INDEX(DREAMH!$K$2:$K$766,MATCH(DREAMH!$A$2:$A$766,DREAMH!$A$2:$A$766,0))="Người bán dâm (SW)"))</f>
        <v>0</v>
      </c>
      <c r="J37" s="78" cm="1">
        <f t="array" ref="J37">SUMPRODUCT((DREAMH!$D$2:$D$766="Về nhà")*(DREAMH!$B$2:$B$766="F2. Truyền thông, sinh hoạt nhóm, vòng tròn chia sẻ, trị liệu nghệ thuật")*(DREAMH!$AA$2:$AA$766="Sinh hoạt nhóm")*(INDEX(DREAMH!$K$2:$K$766,MATCH(DREAMH!$A$2:$A$766,DREAMH!$A$2:$A$766,0))="Nam quan hệ tình dục đồng giới (MSM)"))</f>
        <v>0</v>
      </c>
      <c r="K37" s="37" t="s">
        <v>35</v>
      </c>
      <c r="L37" s="37" t="s">
        <v>35</v>
      </c>
      <c r="M37" s="37" t="s">
        <v>35</v>
      </c>
      <c r="N37" s="37" t="s">
        <v>35</v>
      </c>
      <c r="O37" s="84" t="s">
        <v>78</v>
      </c>
      <c r="P37" s="31" t="s">
        <v>60</v>
      </c>
    </row>
    <row r="38" spans="2:16" ht="18" customHeight="1" x14ac:dyDescent="0.3">
      <c r="B38" s="39">
        <v>4</v>
      </c>
      <c r="C38" s="45" t="s">
        <v>79</v>
      </c>
      <c r="D38" s="62"/>
      <c r="E38" s="81" cm="1">
        <f t="array" ref="E38">SUMPRODUCT(((DREAMH!$D$2:$D$766="Về nhà")*(DREAMH!$B$2:$B$766="F2.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F38" s="81" cm="1">
        <f t="array" ref="F38">SUMPRODUCT(((DREAMH!$D$2:$D$766="Về nhà")*(DREAMH!$B$2:$B$766="F2. Truyền thông, sinh hoạt nhóm, vòng tròn chia sẻ, trị liệu nghệ thuật")*(DREAMH!$AA$2:$AA$766="Sinh hoạt nhóm"))*(INDEX(DREAMH!$K$2:$K$766,MATCH(DREAMH!$A$2:$A$766,DREAMH!$A$2:$A$766,0))="Người sử dụng ma túy (PUD)")/(COUNTIFS(DREAMH!$A$2:$A$766,DREAMH!$A$2:$A$766,DREAMH!$B$2:$B$766,"F2.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G38" s="81" cm="1">
        <f t="array" ref="G38">SUMPRODUCT(((DREAMH!$D$2:$D$766="Về nhà")*(DREAMH!$B$2:$B$766="F2. Truyền thông, sinh hoạt nhóm, vòng tròn chia sẻ, trị liệu nghệ thuật")*(DREAMH!$AA$2:$AA$766="Sinh hoạt nhóm"))*(INDEX(DREAMH!$K$2:$K$766,MATCH(DREAMH!$A$2:$A$766,DREAMH!$A$2:$A$766,0))="Người sống chung với HIV (PLHIV)")/(COUNTIFS(DREAMH!$A$2:$A$766,DREAMH!$A$2:$A$766,DREAMH!$B$2:$B$766,"F2.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H38" s="81" cm="1">
        <f t="array" ref="H38">SUMPRODUCT(((DREAMH!$D$2:$D$766="Về nhà")*(DREAMH!$B$2:$B$766="F2. Truyền thông, sinh hoạt nhóm, vòng tròn chia sẻ, trị liệu nghệ thuật")*(DREAMH!$AA$2:$AA$766="Sinh hoạt nhóm"))*(INDEX(DREAMH!$K$2:$K$766,MATCH(DREAMH!$A$2:$A$766,DREAMH!$A$2:$A$766,0))="Người chuyển giới (TG)")/(COUNTIFS(DREAMH!$A$2:$A$766,DREAMH!$A$2:$A$766,DREAMH!$B$2:$B$766,"F2.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I38" s="78" cm="1">
        <f t="array" ref="I38">SUMPRODUCT(((DREAMH!$D$2:$D$766="Về nhà")*(DREAMH!$B$2:$B$766="F2. Truyền thông, sinh hoạt nhóm, vòng tròn chia sẻ, trị liệu nghệ thuật")*(DREAMH!$AA$2:$AA$766="Sinh hoạt nhóm"))*(INDEX(DREAMH!$K$2:$K$766,MATCH(DREAMH!$A$2:$A$766,DREAMH!$A$2:$A$766,0))="Người bán dâm (SW)")/(COUNTIFS(DREAMH!$A$2:$A$766,DREAMH!$A$2:$A$766,DREAMH!$B$2:$B$766,"F2.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J38" s="78" cm="1">
        <f t="array" ref="J38">SUMPRODUCT(((DREAMH!$D$2:$D$766="Về nhà")*(DREAMH!$B$2:$B$766="F2. Truyền thông, sinh hoạt nhóm, vòng tròn chia sẻ, trị liệu nghệ thuật")*(DREAMH!$AA$2:$AA$766="Sinh hoạt nhóm"))*(INDEX(DREAMH!$K$2:$K$766,MATCH(DREAMH!$A$2:$A$766,DREAMH!$A$2:$A$766,0))="Nam quan hệ tình dục đồng giới (MSM)")/(COUNTIFS(DREAMH!$A$2:$A$766,DREAMH!$A$2:$A$766,DREAMH!$B$2:$B$766,"F2.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K38" s="37" t="s">
        <v>35</v>
      </c>
      <c r="L38" s="37" t="s">
        <v>35</v>
      </c>
      <c r="M38" s="37" t="s">
        <v>35</v>
      </c>
      <c r="N38" s="37" t="s">
        <v>35</v>
      </c>
      <c r="O38" s="84"/>
      <c r="P38" s="31"/>
    </row>
    <row r="39" spans="2:16" ht="18" customHeight="1" x14ac:dyDescent="0.3">
      <c r="B39" s="39">
        <v>5</v>
      </c>
      <c r="C39" s="45" t="s">
        <v>80</v>
      </c>
      <c r="D39" s="62"/>
      <c r="E39" s="81" cm="1">
        <f t="array" ref="E39">SUMPRODUCT((DREAMH!$D$2:$D$766="Về nhà")*(DREAMH!$B$2:$B$766="F2. Truyền thông, sinh hoạt nhóm, vòng tròn chia sẻ, trị liệu nghệ thuật")*(DREAMH!$AA$2:$AA$766="Can thiệp chữa lành"))</f>
        <v>0</v>
      </c>
      <c r="F39" s="81" cm="1">
        <f t="array" ref="F39">SUMPRODUCT((DREAMH!$D$2:$D$766="Về nhà")*(DREAMH!$B$2:$B$766="F2. Truyền thông, sinh hoạt nhóm, vòng tròn chia sẻ, trị liệu nghệ thuật")*(DREAMH!$AA$2:$AA$766="Can thiệp chữa lành")*(INDEX(DREAMH!$K$2:$K$766,MATCH(DREAMH!$A$2:$A$766,DREAMH!$A$2:$A$766,0))="Người sử dụng ma túy (PUD)"))</f>
        <v>0</v>
      </c>
      <c r="G39" s="81" cm="1">
        <f t="array" ref="G39">SUMPRODUCT((DREAMH!$D$2:$D$766="Về nhà")*(DREAMH!$B$2:$B$766="F2. Truyền thông, sinh hoạt nhóm, vòng tròn chia sẻ, trị liệu nghệ thuật")*(DREAMH!$AA$2:$AA$766="Can thiệp chữa lành")*(INDEX(DREAMH!$K$2:$K$766,MATCH(DREAMH!$A$2:$A$766,DREAMH!$A$2:$A$766,0))="Người sống chung với HIV (PLHIV)"))</f>
        <v>0</v>
      </c>
      <c r="H39" s="81" cm="1">
        <f t="array" ref="H39">SUMPRODUCT((DREAMH!$D$2:$D$766="Về nhà")*(DREAMH!$B$2:$B$766="F2. Truyền thông, sinh hoạt nhóm, vòng tròn chia sẻ, trị liệu nghệ thuật")*(DREAMH!$AA$2:$AA$766="Can thiệp chữa lành")*(INDEX(DREAMH!$K$2:$K$766,MATCH(DREAMH!$A$2:$A$766,DREAMH!$A$2:$A$766,0))="Người chuyển giới (TG)"))</f>
        <v>0</v>
      </c>
      <c r="I39" s="78" cm="1">
        <f t="array" ref="I39">SUMPRODUCT((DREAMH!$D$2:$D$766="Về nhà")*(DREAMH!$B$2:$B$766="F2. Truyền thông, sinh hoạt nhóm, vòng tròn chia sẻ, trị liệu nghệ thuật")*(DREAMH!$AA$2:$AA$766="Can thiệp chữa lành")*(INDEX(DREAMH!$K$2:$K$766,MATCH(DREAMH!$A$2:$A$766,DREAMH!$A$2:$A$766,0))="Người bán dâm (SW)"))</f>
        <v>0</v>
      </c>
      <c r="J39" s="78" cm="1">
        <f t="array" ref="J39">SUMPRODUCT((DREAMH!$D$2:$D$766="Về nhà")*(DREAMH!$B$2:$B$766="F2. Truyền thông, sinh hoạt nhóm, vòng tròn chia sẻ, trị liệu nghệ thuật")*(DREAMH!$AA$2:$AA$766="Can thiệp chữa lành")*(INDEX(DREAMH!$K$2:$K$766,MATCH(DREAMH!$A$2:$A$766,DREAMH!$A$2:$A$766,0))="Nam quan hệ tình dục đồng giới (MSM)"))</f>
        <v>0</v>
      </c>
      <c r="K39" s="37" t="s">
        <v>35</v>
      </c>
      <c r="L39" s="37" t="s">
        <v>35</v>
      </c>
      <c r="M39" s="37" t="s">
        <v>35</v>
      </c>
      <c r="N39" s="37" t="s">
        <v>35</v>
      </c>
      <c r="O39" s="84"/>
      <c r="P39" s="31"/>
    </row>
    <row r="40" spans="2:16" ht="18" customHeight="1" x14ac:dyDescent="0.3">
      <c r="B40" s="20">
        <v>6</v>
      </c>
      <c r="C40" s="56" t="s">
        <v>81</v>
      </c>
      <c r="D40" s="62"/>
      <c r="E40" s="81" cm="1">
        <f t="array" ref="E40">SUMPRODUCT(((DREAMH!$D$2:$D$766="Về nhà")*(DREAMH!$B$2:$B$766="F2.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F40" s="81" cm="1">
        <f t="array" ref="F40">SUMPRODUCT(((DREAMH!$D$2:$D$766="Về nhà")*(DREAMH!$B$2:$B$766="F2. Truyền thông, sinh hoạt nhóm, vòng tròn chia sẻ, trị liệu nghệ thuật")*(DREAMH!$AA$2:$AA$766="Can thiệp chữa lành"))*(INDEX(DREAMH!$K$2:$K$766,MATCH(DREAMH!$A$2:$A$766,DREAMH!$A$2:$A$766,0))="Người sử dụng ma túy (PUD)")/(COUNTIFS(DREAMH!$A$2:$A$766,DREAMH!$A$2:$A$766,DREAMH!$B$2:$B$766,"F2.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G40" s="81" cm="1">
        <f t="array" ref="G40">SUMPRODUCT(((DREAMH!$D$2:$D$766="Về nhà")*(DREAMH!$B$2:$B$766="F2. Truyền thông, sinh hoạt nhóm, vòng tròn chia sẻ, trị liệu nghệ thuật")*(DREAMH!$AA$2:$AA$766="Can thiệp chữa lành"))*(INDEX(DREAMH!$K$2:$K$766,MATCH(DREAMH!$A$2:$A$766,DREAMH!$A$2:$A$766,0))="Người sống chung với HIV (PLHIV)")/(COUNTIFS(DREAMH!$A$2:$A$766,DREAMH!$A$2:$A$766,DREAMH!$B$2:$B$766,"F2.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H40" s="81" cm="1">
        <f t="array" ref="H40">SUMPRODUCT(((DREAMH!$D$2:$D$766="Về nhà")*(DREAMH!$B$2:$B$766="F2. Truyền thông, sinh hoạt nhóm, vòng tròn chia sẻ, trị liệu nghệ thuật")*(DREAMH!$AA$2:$AA$766="Can thiệp chữa lành"))*(INDEX(DREAMH!$K$2:$K$766,MATCH(DREAMH!$A$2:$A$766,DREAMH!$A$2:$A$766,0))="Người chuyển giới (TG)")/(COUNTIFS(DREAMH!$A$2:$A$766,DREAMH!$A$2:$A$766,DREAMH!$B$2:$B$766,"F2.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I40" s="78" cm="1">
        <f t="array" ref="I40">SUMPRODUCT(((DREAMH!$D$2:$D$766="Về nhà")*(DREAMH!$B$2:$B$766="F2. Truyền thông, sinh hoạt nhóm, vòng tròn chia sẻ, trị liệu nghệ thuật")*(DREAMH!$AA$2:$AA$766="Can thiệp chữa lành"))*(INDEX(DREAMH!$K$2:$K$766,MATCH(DREAMH!$A$2:$A$766,DREAMH!$A$2:$A$766,0))="Người bán dâm (SW)")/(COUNTIFS(DREAMH!$A$2:$A$766,DREAMH!$A$2:$A$766,DREAMH!$B$2:$B$766,"F2.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J40" s="78" cm="1">
        <f t="array" ref="J40">SUMPRODUCT(((DREAMH!$D$2:$D$766="Về nhà")*(DREAMH!$B$2:$B$766="F2. Truyền thông, sinh hoạt nhóm, vòng tròn chia sẻ, trị liệu nghệ thuật")*(DREAMH!$AA$2:$AA$766="Can thiệp chữa lành"))*(INDEX(DREAMH!$K$2:$K$766,MATCH(DREAMH!$A$2:$A$766,DREAMH!$A$2:$A$766,0))="Nam quan hệ tình dục đồng giới (MSM)")/(COUNTIFS(DREAMH!$A$2:$A$766,DREAMH!$A$2:$A$766,DREAMH!$B$2:$B$766,"F2.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K40" s="37" t="s">
        <v>35</v>
      </c>
      <c r="L40" s="37" t="s">
        <v>35</v>
      </c>
      <c r="M40" s="37" t="s">
        <v>35</v>
      </c>
      <c r="N40" s="37" t="s">
        <v>35</v>
      </c>
      <c r="O40" s="84"/>
      <c r="P40" s="31"/>
    </row>
    <row r="41" spans="2:16" s="8" customFormat="1" ht="18" customHeight="1" x14ac:dyDescent="0.3">
      <c r="B41" s="47" t="s">
        <v>82</v>
      </c>
      <c r="C41" s="63" t="s">
        <v>83</v>
      </c>
      <c r="D41" s="64"/>
      <c r="E41" s="6"/>
      <c r="F41" s="6"/>
      <c r="G41" s="6"/>
      <c r="H41" s="6"/>
      <c r="I41" s="41"/>
      <c r="J41" s="41"/>
      <c r="K41" s="54"/>
      <c r="L41" s="54"/>
      <c r="M41" s="54"/>
      <c r="N41" s="54"/>
      <c r="O41" s="65"/>
      <c r="P41" s="31"/>
    </row>
    <row r="42" spans="2:16" ht="22.5" customHeight="1" x14ac:dyDescent="0.3">
      <c r="B42" s="20">
        <v>1</v>
      </c>
      <c r="C42" s="85" t="s">
        <v>84</v>
      </c>
      <c r="D42" s="85"/>
      <c r="E42" s="19"/>
      <c r="F42" s="19"/>
      <c r="G42" s="19"/>
      <c r="H42" s="19"/>
      <c r="I42" s="34"/>
      <c r="J42" s="34"/>
      <c r="K42" s="37" t="s">
        <v>35</v>
      </c>
      <c r="L42" s="37" t="s">
        <v>35</v>
      </c>
      <c r="M42" s="37" t="s">
        <v>35</v>
      </c>
      <c r="N42" s="37" t="s">
        <v>35</v>
      </c>
      <c r="O42" s="86" t="s">
        <v>85</v>
      </c>
      <c r="P42" s="31" t="s">
        <v>86</v>
      </c>
    </row>
    <row r="43" spans="2:16" ht="22.5" customHeight="1" x14ac:dyDescent="0.25">
      <c r="B43" s="20">
        <v>2</v>
      </c>
      <c r="C43" s="85" t="s">
        <v>87</v>
      </c>
      <c r="D43" s="85"/>
      <c r="E43" s="36"/>
      <c r="F43" s="36"/>
      <c r="G43" s="36"/>
      <c r="H43" s="36"/>
      <c r="I43" s="34"/>
      <c r="J43" s="34"/>
      <c r="K43" s="37" t="s">
        <v>35</v>
      </c>
      <c r="L43" s="37" t="s">
        <v>35</v>
      </c>
      <c r="M43" s="37" t="s">
        <v>35</v>
      </c>
      <c r="N43" s="37" t="s">
        <v>35</v>
      </c>
      <c r="O43" s="86"/>
      <c r="P43" s="31" t="s">
        <v>86</v>
      </c>
    </row>
    <row r="44" spans="2:16" ht="18" customHeight="1" x14ac:dyDescent="0.25">
      <c r="B44" s="26" t="s">
        <v>88</v>
      </c>
      <c r="C44" s="4" t="s">
        <v>89</v>
      </c>
      <c r="D44" s="66"/>
      <c r="E44" s="36"/>
      <c r="F44" s="36"/>
      <c r="G44" s="36"/>
      <c r="H44" s="36"/>
      <c r="I44" s="34"/>
      <c r="J44" s="34"/>
      <c r="K44" s="37"/>
      <c r="L44" s="37"/>
      <c r="M44" s="37"/>
      <c r="N44" s="37"/>
      <c r="O44" s="38"/>
      <c r="P44" s="31"/>
    </row>
    <row r="45" spans="2:16" ht="16.5" customHeight="1" x14ac:dyDescent="0.25">
      <c r="B45" s="87">
        <v>1</v>
      </c>
      <c r="C45" s="88" t="s">
        <v>90</v>
      </c>
      <c r="D45" s="67" t="s">
        <v>91</v>
      </c>
      <c r="E45" s="36"/>
      <c r="F45" s="36"/>
      <c r="G45" s="36"/>
      <c r="H45" s="36"/>
      <c r="I45" s="34"/>
      <c r="J45" s="34"/>
      <c r="K45" s="37" t="s">
        <v>35</v>
      </c>
      <c r="L45" s="37" t="s">
        <v>35</v>
      </c>
      <c r="M45" s="37" t="s">
        <v>35</v>
      </c>
      <c r="N45" s="37" t="s">
        <v>35</v>
      </c>
      <c r="O45" s="89" t="s">
        <v>92</v>
      </c>
      <c r="P45" s="31"/>
    </row>
    <row r="46" spans="2:16" ht="16.5" customHeight="1" x14ac:dyDescent="0.25">
      <c r="B46" s="87"/>
      <c r="C46" s="87"/>
      <c r="D46" s="67" t="s">
        <v>93</v>
      </c>
      <c r="E46" s="36"/>
      <c r="F46" s="36"/>
      <c r="G46" s="36"/>
      <c r="H46" s="36"/>
      <c r="I46" s="34"/>
      <c r="J46" s="34"/>
      <c r="K46" s="37" t="s">
        <v>35</v>
      </c>
      <c r="L46" s="37" t="s">
        <v>35</v>
      </c>
      <c r="M46" s="37" t="s">
        <v>35</v>
      </c>
      <c r="N46" s="37" t="s">
        <v>35</v>
      </c>
      <c r="O46" s="89"/>
      <c r="P46" s="31"/>
    </row>
    <row r="47" spans="2:16" ht="16.5" customHeight="1" x14ac:dyDescent="0.25">
      <c r="B47" s="87"/>
      <c r="C47" s="87"/>
      <c r="D47" s="67" t="s">
        <v>94</v>
      </c>
      <c r="E47" s="36"/>
      <c r="F47" s="36"/>
      <c r="G47" s="36"/>
      <c r="H47" s="36"/>
      <c r="I47" s="34"/>
      <c r="J47" s="34"/>
      <c r="K47" s="37" t="s">
        <v>35</v>
      </c>
      <c r="L47" s="37" t="s">
        <v>35</v>
      </c>
      <c r="M47" s="37" t="s">
        <v>35</v>
      </c>
      <c r="N47" s="37" t="s">
        <v>35</v>
      </c>
      <c r="O47" s="89"/>
      <c r="P47" s="31"/>
    </row>
    <row r="48" spans="2:16" ht="16.5" customHeight="1" x14ac:dyDescent="0.25">
      <c r="B48" s="87"/>
      <c r="C48" s="87"/>
      <c r="D48" s="67" t="s">
        <v>95</v>
      </c>
      <c r="E48" s="36"/>
      <c r="F48" s="36"/>
      <c r="G48" s="36"/>
      <c r="H48" s="36"/>
      <c r="I48" s="34"/>
      <c r="J48" s="34"/>
      <c r="K48" s="37" t="s">
        <v>35</v>
      </c>
      <c r="L48" s="37" t="s">
        <v>35</v>
      </c>
      <c r="M48" s="37" t="s">
        <v>35</v>
      </c>
      <c r="N48" s="37" t="s">
        <v>35</v>
      </c>
      <c r="O48" s="89"/>
      <c r="P48" s="31"/>
    </row>
    <row r="49" spans="1:16" ht="16.5" customHeight="1" x14ac:dyDescent="0.25">
      <c r="B49" s="87"/>
      <c r="C49" s="87"/>
      <c r="D49" s="67" t="s">
        <v>96</v>
      </c>
      <c r="E49" s="36"/>
      <c r="F49" s="36"/>
      <c r="G49" s="36"/>
      <c r="H49" s="36"/>
      <c r="I49" s="34"/>
      <c r="J49" s="34"/>
      <c r="K49" s="37" t="s">
        <v>35</v>
      </c>
      <c r="L49" s="37" t="s">
        <v>35</v>
      </c>
      <c r="M49" s="37" t="s">
        <v>35</v>
      </c>
      <c r="N49" s="37" t="s">
        <v>35</v>
      </c>
      <c r="O49" s="89"/>
      <c r="P49" s="31"/>
    </row>
    <row r="50" spans="1:16" ht="16.5" customHeight="1" x14ac:dyDescent="0.25">
      <c r="B50" s="87"/>
      <c r="C50" s="87"/>
      <c r="D50" s="67" t="s">
        <v>97</v>
      </c>
      <c r="E50" s="36"/>
      <c r="F50" s="36"/>
      <c r="G50" s="36"/>
      <c r="H50" s="36"/>
      <c r="I50" s="34"/>
      <c r="J50" s="34"/>
      <c r="K50" s="37" t="s">
        <v>35</v>
      </c>
      <c r="L50" s="37" t="s">
        <v>35</v>
      </c>
      <c r="M50" s="37" t="s">
        <v>35</v>
      </c>
      <c r="N50" s="37" t="s">
        <v>35</v>
      </c>
      <c r="O50" s="89"/>
      <c r="P50" s="31"/>
    </row>
    <row r="51" spans="1:16" ht="18" customHeight="1" x14ac:dyDescent="0.25">
      <c r="B51" s="26" t="s">
        <v>98</v>
      </c>
      <c r="C51" s="4" t="s">
        <v>99</v>
      </c>
      <c r="D51" s="3"/>
      <c r="E51" s="1"/>
      <c r="F51" s="1"/>
      <c r="G51" s="1"/>
      <c r="H51" s="1"/>
      <c r="I51" s="34"/>
      <c r="J51" s="34"/>
      <c r="K51" s="37"/>
      <c r="L51" s="37"/>
      <c r="M51" s="37"/>
      <c r="N51" s="37"/>
      <c r="O51" s="38"/>
      <c r="P51" s="31"/>
    </row>
    <row r="52" spans="1:16" ht="63" customHeight="1" x14ac:dyDescent="0.25">
      <c r="B52" s="20">
        <v>1</v>
      </c>
      <c r="C52" s="3" t="s">
        <v>100</v>
      </c>
      <c r="D52" s="3"/>
      <c r="E52" s="1"/>
      <c r="F52" s="1"/>
      <c r="G52" s="1"/>
      <c r="H52" s="1"/>
      <c r="I52" s="34"/>
      <c r="J52" s="34"/>
      <c r="K52" s="37" t="s">
        <v>35</v>
      </c>
      <c r="L52" s="37" t="s">
        <v>35</v>
      </c>
      <c r="M52" s="37" t="s">
        <v>35</v>
      </c>
      <c r="N52" s="37" t="s">
        <v>35</v>
      </c>
      <c r="O52" s="82" t="s">
        <v>101</v>
      </c>
      <c r="P52" s="31"/>
    </row>
    <row r="53" spans="1:16" ht="63" customHeight="1" x14ac:dyDescent="0.25">
      <c r="B53" s="20">
        <v>2</v>
      </c>
      <c r="C53" s="3" t="s">
        <v>102</v>
      </c>
      <c r="D53" s="3"/>
      <c r="E53" s="1"/>
      <c r="F53" s="1"/>
      <c r="G53" s="1"/>
      <c r="H53" s="1"/>
      <c r="I53" s="34"/>
      <c r="J53" s="34"/>
      <c r="K53" s="37" t="s">
        <v>35</v>
      </c>
      <c r="L53" s="37" t="s">
        <v>35</v>
      </c>
      <c r="M53" s="37" t="s">
        <v>35</v>
      </c>
      <c r="N53" s="37" t="s">
        <v>35</v>
      </c>
      <c r="O53" s="82"/>
      <c r="P53" s="31"/>
    </row>
    <row r="54" spans="1:16" ht="15" customHeight="1" x14ac:dyDescent="0.25">
      <c r="P54" s="68"/>
    </row>
    <row r="55" spans="1:16" ht="14.25" customHeight="1" x14ac:dyDescent="0.25">
      <c r="B55" s="69"/>
      <c r="E55" s="70"/>
      <c r="F55" s="70"/>
    </row>
    <row r="56" spans="1:16" ht="16.5" customHeight="1" x14ac:dyDescent="0.35">
      <c r="A56" s="83"/>
      <c r="B56" s="83"/>
      <c r="C56" s="71"/>
      <c r="E56" s="72"/>
      <c r="F56" s="72"/>
    </row>
  </sheetData>
  <autoFilter ref="B4:O53" xr:uid="{00000000-0009-0000-0000-000001000000}">
    <filterColumn colId="0" hiddenButton="1"/>
  </autoFilter>
  <mergeCells count="26">
    <mergeCell ref="F3:J3"/>
    <mergeCell ref="K3:N3"/>
    <mergeCell ref="C4:D4"/>
    <mergeCell ref="C5:D5"/>
    <mergeCell ref="C6:D6"/>
    <mergeCell ref="C7:D7"/>
    <mergeCell ref="C8:D8"/>
    <mergeCell ref="C9:D9"/>
    <mergeCell ref="C10:D10"/>
    <mergeCell ref="O10:O12"/>
    <mergeCell ref="C11:D11"/>
    <mergeCell ref="C12:D12"/>
    <mergeCell ref="C14:D14"/>
    <mergeCell ref="C19:D19"/>
    <mergeCell ref="O25:O29"/>
    <mergeCell ref="O31:O36"/>
    <mergeCell ref="C33:D33"/>
    <mergeCell ref="O52:O53"/>
    <mergeCell ref="A56:B56"/>
    <mergeCell ref="O37:O40"/>
    <mergeCell ref="C42:D42"/>
    <mergeCell ref="O42:O43"/>
    <mergeCell ref="C43:D43"/>
    <mergeCell ref="B45:B50"/>
    <mergeCell ref="C45:C50"/>
    <mergeCell ref="O45:O50"/>
  </mergeCell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P56"/>
  <sheetViews>
    <sheetView zoomScale="80" zoomScaleNormal="80" workbookViewId="0">
      <pane ySplit="4" topLeftCell="A5" activePane="bottomLeft" state="frozen"/>
      <selection pane="bottomLeft" activeCell="E6" sqref="E6:J40"/>
    </sheetView>
  </sheetViews>
  <sheetFormatPr defaultColWidth="8.59765625" defaultRowHeight="13.8" x14ac:dyDescent="0.25"/>
  <cols>
    <col min="3" max="3" width="47" customWidth="1"/>
    <col min="4" max="4" width="30.69921875" customWidth="1"/>
    <col min="5" max="5" width="10.09765625" style="7" customWidth="1"/>
    <col min="6" max="10" width="8.8984375" style="7" customWidth="1"/>
    <col min="11" max="11" width="9" style="12" customWidth="1"/>
    <col min="12" max="14" width="6.3984375" style="12" customWidth="1"/>
    <col min="15" max="15" width="41.19921875" style="12" customWidth="1"/>
    <col min="16" max="16" width="72.19921875" customWidth="1"/>
  </cols>
  <sheetData>
    <row r="2" spans="2:16" ht="18" customHeight="1" x14ac:dyDescent="0.3">
      <c r="B2" s="13"/>
      <c r="C2" s="14" t="s">
        <v>15</v>
      </c>
      <c r="D2" s="15"/>
      <c r="E2" s="15"/>
      <c r="F2" s="15"/>
      <c r="G2" s="15"/>
      <c r="H2" s="15"/>
      <c r="I2" s="16"/>
      <c r="J2" s="16"/>
      <c r="K2" s="17"/>
      <c r="L2" s="17"/>
      <c r="M2" s="17"/>
      <c r="N2" s="17"/>
      <c r="O2" s="17"/>
    </row>
    <row r="3" spans="2:16" ht="18.75" customHeight="1" x14ac:dyDescent="0.3">
      <c r="B3" s="13"/>
      <c r="C3" s="18" t="s">
        <v>16</v>
      </c>
      <c r="D3" s="18"/>
      <c r="E3" s="19"/>
      <c r="F3" s="96" t="s">
        <v>17</v>
      </c>
      <c r="G3" s="96"/>
      <c r="H3" s="96"/>
      <c r="I3" s="96"/>
      <c r="J3" s="96"/>
      <c r="K3" s="97" t="s">
        <v>2</v>
      </c>
      <c r="L3" s="97"/>
      <c r="M3" s="97"/>
      <c r="N3" s="97"/>
      <c r="O3" s="17"/>
    </row>
    <row r="4" spans="2:16" ht="29.25" customHeight="1" x14ac:dyDescent="0.25">
      <c r="B4" s="20" t="s">
        <v>18</v>
      </c>
      <c r="C4" s="98" t="s">
        <v>19</v>
      </c>
      <c r="D4" s="98"/>
      <c r="E4" s="5" t="s">
        <v>20</v>
      </c>
      <c r="F4" s="21" t="s">
        <v>21</v>
      </c>
      <c r="G4" s="21" t="s">
        <v>22</v>
      </c>
      <c r="H4" s="21" t="s">
        <v>23</v>
      </c>
      <c r="I4" s="22" t="s">
        <v>24</v>
      </c>
      <c r="J4" s="22" t="s">
        <v>25</v>
      </c>
      <c r="K4" s="23" t="s">
        <v>26</v>
      </c>
      <c r="L4" s="23" t="s">
        <v>27</v>
      </c>
      <c r="M4" s="23" t="s">
        <v>28</v>
      </c>
      <c r="N4" s="23" t="s">
        <v>29</v>
      </c>
      <c r="O4" s="24" t="s">
        <v>30</v>
      </c>
      <c r="P4" s="25" t="s">
        <v>31</v>
      </c>
    </row>
    <row r="5" spans="2:16" ht="33.75" customHeight="1" x14ac:dyDescent="0.25">
      <c r="B5" s="26" t="s">
        <v>32</v>
      </c>
      <c r="C5" s="99" t="s">
        <v>33</v>
      </c>
      <c r="D5" s="99"/>
      <c r="E5" s="27"/>
      <c r="F5" s="27"/>
      <c r="G5" s="27"/>
      <c r="H5" s="27"/>
      <c r="I5" s="28"/>
      <c r="J5" s="28"/>
      <c r="K5" s="29"/>
      <c r="L5" s="29"/>
      <c r="M5" s="29"/>
      <c r="N5" s="29"/>
      <c r="O5" s="30"/>
      <c r="P5" s="31"/>
    </row>
    <row r="6" spans="2:16" ht="33" customHeight="1" x14ac:dyDescent="0.25">
      <c r="B6" s="20">
        <v>1</v>
      </c>
      <c r="C6" s="100" t="s">
        <v>34</v>
      </c>
      <c r="D6" s="100"/>
      <c r="E6" s="75" cm="1">
        <f t="array" ref="E6">SUMPRODUCT((DREAMH!$D$2:$D$766="Its T time")*(DREAMH!$B$2:$B$766=""))</f>
        <v>9</v>
      </c>
      <c r="F6" s="75" cm="1">
        <f t="array" ref="F6">SUMPRODUCT((DREAMH!$D$2:$D$766="Its T time")*(DREAMH!$B$2:$B$766="")*(INDEX(DREAMH!$K$2:$K$766,MATCH(DREAMH!$A$2:$A$766,DREAMH!$A$2:$A$766,0))="Người sử dụng ma túy (PUD)"))</f>
        <v>0</v>
      </c>
      <c r="G6" s="75" cm="1">
        <f t="array" ref="G6">SUMPRODUCT((DREAMH!$D$2:$D$766="Its T time")*(DREAMH!$B$2:$B$766="")*(INDEX(DREAMH!$K$2:$K$766,MATCH(DREAMH!$A$2:$A$766,DREAMH!$A$2:$A$766,0))="Người sống chung với HIV (PLHIV)"))</f>
        <v>0</v>
      </c>
      <c r="H6" s="75" cm="1">
        <f t="array" ref="H6">SUMPRODUCT((DREAMH!$D$2:$D$766="Its T time")*(DREAMH!$B$2:$B$766="")*(INDEX(DREAMH!$K$2:$K$766,MATCH(DREAMH!$A$2:$A$766,DREAMH!$A$2:$A$766,0))="Người chuyển giới (TG)"))</f>
        <v>9</v>
      </c>
      <c r="I6" s="76" cm="1">
        <f t="array" ref="I6">SUMPRODUCT((DREAMH!$D$2:$D$766="Its T time")*(DREAMH!$B$2:$B$766="")*(INDEX(DREAMH!$K$2:$K$766,MATCH(DREAMH!$A$2:$A$766,DREAMH!$A$2:$A$766,0))="Người bán dâm (SW)"))</f>
        <v>0</v>
      </c>
      <c r="J6" s="76" cm="1">
        <f t="array" ref="J6">SUMPRODUCT((DREAMH!$D$2:$D$766="Its T time")*(DREAMH!$B$2:$B$766="")*(INDEX(DREAMH!$K$2:$K$766,MATCH(DREAMH!$A$2:$A$766,DREAMH!$A$2:$A$766,0))="Nam quan hệ tình dục đồng giới (MSM)"))</f>
        <v>0</v>
      </c>
      <c r="K6" s="32"/>
      <c r="L6" s="32" t="s">
        <v>35</v>
      </c>
      <c r="M6" s="32" t="s">
        <v>35</v>
      </c>
      <c r="N6" s="32" t="s">
        <v>35</v>
      </c>
      <c r="O6" s="33" t="s">
        <v>36</v>
      </c>
      <c r="P6" s="31"/>
    </row>
    <row r="7" spans="2:16" ht="34.5" customHeight="1" x14ac:dyDescent="0.25">
      <c r="B7" s="20">
        <v>2</v>
      </c>
      <c r="C7" s="93" t="s">
        <v>37</v>
      </c>
      <c r="D7" s="93"/>
      <c r="E7" s="75" cm="1">
        <f t="array" ref="E7">SUMPRODUCT((DREAMH!$D$2:$D$766="Its T time")*(DREAMH!$B$2:$B$766=""))</f>
        <v>9</v>
      </c>
      <c r="F7" s="75" cm="1">
        <f t="array" ref="F7">SUMPRODUCT((DREAMH!$D$2:$D$766="Its T time")*(DREAMH!$B$2:$B$766="")*(INDEX(DREAMH!$K$2:$K$766,MATCH(DREAMH!$A$2:$A$766,DREAMH!$A$2:$A$766,0))="Người sử dụng ma túy (PUD)"))</f>
        <v>0</v>
      </c>
      <c r="G7" s="75" cm="1">
        <f t="array" ref="G7">SUMPRODUCT((DREAMH!$D$2:$D$766="Its T time")*(DREAMH!$B$2:$B$766="")*(INDEX(DREAMH!$K$2:$K$766,MATCH(DREAMH!$A$2:$A$766,DREAMH!$A$2:$A$766,0))="Người sống chung với HIV (PLHIV)"))</f>
        <v>0</v>
      </c>
      <c r="H7" s="75" cm="1">
        <f t="array" ref="H7">SUMPRODUCT((DREAMH!$D$2:$D$766="Its T time")*(DREAMH!$B$2:$B$766="")*(INDEX(DREAMH!$K$2:$K$766,MATCH(DREAMH!$A$2:$A$766,DREAMH!$A$2:$A$766,0))="Người chuyển giới (TG)"))</f>
        <v>9</v>
      </c>
      <c r="I7" s="76" cm="1">
        <f t="array" ref="I7">SUMPRODUCT((DREAMH!$D$2:$D$766="Its T time")*(DREAMH!$B$2:$B$766="")*(INDEX(DREAMH!$K$2:$K$766,MATCH(DREAMH!$A$2:$A$766,DREAMH!$A$2:$A$766,0))="Người bán dâm (SW)"))</f>
        <v>0</v>
      </c>
      <c r="J7" s="76" cm="1">
        <f t="array" ref="J7">SUMPRODUCT((DREAMH!$D$2:$D$766="Its T time")*(DREAMH!$B$2:$B$766="")*(INDEX(DREAMH!$K$2:$K$766,MATCH(DREAMH!$A$2:$A$766,DREAMH!$A$2:$A$766,0))="Nam quan hệ tình dục đồng giới (MSM)"))</f>
        <v>0</v>
      </c>
      <c r="K7" s="32" t="s">
        <v>35</v>
      </c>
      <c r="L7" s="32" t="s">
        <v>35</v>
      </c>
      <c r="M7" s="32" t="s">
        <v>35</v>
      </c>
      <c r="N7" s="32" t="s">
        <v>35</v>
      </c>
      <c r="O7" s="33" t="s">
        <v>36</v>
      </c>
      <c r="P7" s="31"/>
    </row>
    <row r="8" spans="2:16" ht="18" customHeight="1" x14ac:dyDescent="0.25">
      <c r="B8" s="20">
        <v>3</v>
      </c>
      <c r="C8" s="93" t="s">
        <v>38</v>
      </c>
      <c r="D8" s="93"/>
      <c r="E8" s="77" cm="1">
        <f t="array" ref="E8">SUMPRODUCT((DREAMH!$D$2:$D$766="Its T time")*(DREAMH!$B$2:$B$766="F9. Theo dấu khách hàng")*(DREAMH!$JA$2:$JA$766="Chọn"))</f>
        <v>0</v>
      </c>
      <c r="F8" s="77" cm="1">
        <f t="array" ref="F8">SUMPRODUCT((DREAMH!$D$2:$D$766="Its T time")*(DREAMH!$B$2:$B$766="F9. Theo dấu khách hàng")*(DREAMH!$JA$2:$JA$766="Chọn")*(INDEX(DREAMH!$K$2:$K$766,MATCH(DREAMH!$A$2:$A$766,DREAMH!$A$2:$A$766,0))="Người sử dụng ma túy (PUD)"))</f>
        <v>0</v>
      </c>
      <c r="G8" s="77" cm="1">
        <f t="array" ref="G8">SUMPRODUCT((DREAMH!$D$2:$D$766="Its T time")*(DREAMH!$B$2:$B$766="F9. Theo dấu khách hàng")*(DREAMH!$JA$2:$JA$766="Chọn")*(INDEX(DREAMH!$K$2:$K$766,MATCH(DREAMH!$A$2:$A$766,DREAMH!$A$2:$A$766,0))="Người sống chung với HIV (PLHIV)"))</f>
        <v>0</v>
      </c>
      <c r="H8" s="77" cm="1">
        <f t="array" ref="H8">SUMPRODUCT((DREAMH!$D$2:$D$766="Its T time")*(DREAMH!$B$2:$B$766="F9. Theo dấu khách hàng")*(DREAMH!$JA$2:$JA$766="Chọn")*(INDEX(DREAMH!$K$2:$K$766,MATCH(DREAMH!$A$2:$A$766,DREAMH!$A$2:$A$766,0))="Người chuyển giới (TG)"))</f>
        <v>0</v>
      </c>
      <c r="I8" s="78" cm="1">
        <f t="array" ref="I8">SUMPRODUCT((DREAMH!$D$2:$D$766="Its T time")*(DREAMH!$B$2:$B$766="F9. Theo dấu khách hàng")*(DREAMH!$JA$2:$JA$766="Chọn")*(INDEX(DREAMH!$K$2:$K$766,MATCH(DREAMH!$A$2:$A$766,DREAMH!$A$2:$A$766,0))="Người bán dâm (SW)"))</f>
        <v>0</v>
      </c>
      <c r="J8" s="78" cm="1">
        <f t="array" ref="J8">SUMPRODUCT((DREAMH!$D$2:$D$766="Its T time")*(DREAMH!$B$2:$B$766="F9. Theo dấu khách hàng")*(DREAMH!$JA$2:$JA$766="Chọn")*(INDEX(DREAMH!$K$2:$K$766,MATCH(DREAMH!$A$2:$A$766,DREAMH!$A$2:$A$766,0))="Nam quan hệ tình dục đồng giới (MSM)"))</f>
        <v>0</v>
      </c>
      <c r="K8" s="32"/>
      <c r="L8" s="32" t="s">
        <v>35</v>
      </c>
      <c r="M8" s="32" t="s">
        <v>35</v>
      </c>
      <c r="N8" s="32" t="s">
        <v>35</v>
      </c>
      <c r="O8" s="35" t="s">
        <v>39</v>
      </c>
      <c r="P8" s="31" t="s">
        <v>40</v>
      </c>
    </row>
    <row r="9" spans="2:16" ht="18" customHeight="1" x14ac:dyDescent="0.25">
      <c r="B9" s="26" t="s">
        <v>41</v>
      </c>
      <c r="C9" s="94" t="s">
        <v>42</v>
      </c>
      <c r="D9" s="94"/>
      <c r="E9" s="77"/>
      <c r="F9" s="77"/>
      <c r="G9" s="77"/>
      <c r="H9" s="77"/>
      <c r="I9" s="78"/>
      <c r="J9" s="78"/>
      <c r="K9" s="37"/>
      <c r="L9" s="37"/>
      <c r="M9" s="37"/>
      <c r="N9" s="37"/>
      <c r="O9" s="38"/>
      <c r="P9" s="31"/>
    </row>
    <row r="10" spans="2:16" ht="24" customHeight="1" x14ac:dyDescent="0.25">
      <c r="B10" s="20">
        <v>1</v>
      </c>
      <c r="C10" s="91" t="s">
        <v>43</v>
      </c>
      <c r="D10" s="91"/>
      <c r="E10" s="77" cm="1">
        <f t="array" ref="E10">SUMPRODUCT((DREAMH!$D$2:$D$766="Its T time")*(DREAMH!$B$2:$B$766="F2. Truyền thông, sinh hoạt nhóm, vòng tròn chia sẻ, trị liệu nghệ thuật")*(DREAMH!$AA$2:$AA$766="Truyền thông")*(DREAMH!$C$2:$C$766=1))</f>
        <v>9</v>
      </c>
      <c r="F10" s="77" cm="1">
        <f t="array" ref="F10">SUMPRODUCT((DREAMH!$D$2:$D$766="Its T time")*(DREAMH!$B$2:$B$766="F2. Truyền thông, sinh hoạt nhóm, vòng tròn chia sẻ, trị liệu nghệ thuật")*(DREAMH!$AA$2:$AA$766="Truyền thông")*(DREAMH!$C$2:$C$766=1)*(INDEX(DREAMH!$K$2:$K$766,MATCH(DREAMH!$A$2:$A$766,DREAMH!$A$2:$A$766,0))="Người sử dụng ma túy (PUD)"))</f>
        <v>0</v>
      </c>
      <c r="G10" s="77" cm="1">
        <f t="array" ref="G10">SUMPRODUCT((DREAMH!$D$2:$D$766="Its T time")*(DREAMH!$B$2:$B$766="F2. Truyền thông, sinh hoạt nhóm, vòng tròn chia sẻ, trị liệu nghệ thuật")*(DREAMH!$AA$2:$AA$766="Truyền thông")*(DREAMH!$C$2:$C$766=1)*(INDEX(DREAMH!$K$2:$K$766,MATCH(DREAMH!$A$2:$A$766,DREAMH!$A$2:$A$766,0))="Người sống chung với HIV (PLHIV)"))</f>
        <v>0</v>
      </c>
      <c r="H10" s="77" cm="1">
        <f t="array" ref="H10">SUMPRODUCT((DREAMH!$D$2:$D$766="Its T time")*(DREAMH!$B$2:$B$766="F2. Truyền thông, sinh hoạt nhóm, vòng tròn chia sẻ, trị liệu nghệ thuật")*(DREAMH!$AA$2:$AA$766="Truyền thông")*(DREAMH!$C$2:$C$766=1)*(INDEX(DREAMH!$K$2:$K$766,MATCH(DREAMH!$A$2:$A$766,DREAMH!$A$2:$A$766,0))="Người chuyển giới (TG)"))</f>
        <v>9</v>
      </c>
      <c r="I10" s="78" cm="1">
        <f t="array" ref="I10">SUMPRODUCT((DREAMH!$D$2:$D$766="Its T time")*(DREAMH!$B$2:$B$766="F2. Truyền thông, sinh hoạt nhóm, vòng tròn chia sẻ, trị liệu nghệ thuật")*(DREAMH!$AA$2:$AA$766="Truyền thông")*(DREAMH!$C$2:$C$766=1)*(INDEX(DREAMH!$K$2:$K$766,MATCH(DREAMH!$A$2:$A$766,DREAMH!$A$2:$A$766,0))="Người bán dâm (SW)"))</f>
        <v>0</v>
      </c>
      <c r="J10" s="78" cm="1">
        <f t="array" ref="J10">SUMPRODUCT((DREAMH!$D$2:$D$766="Its T time")*(DREAMH!$B$2:$B$766="F2. Truyền thông, sinh hoạt nhóm, vòng tròn chia sẻ, trị liệu nghệ thuật")*(DREAMH!$AA$2:$AA$766="Truyền thông")*(DREAMH!$C$2:$C$766=1)*(INDEX(DREAMH!$K$2:$K$766,MATCH(DREAMH!$A$2:$A$766,DREAMH!$A$2:$A$766,0))="Nam quan hệ tình dục đồng giới (MSM)"))</f>
        <v>0</v>
      </c>
      <c r="K10" s="37" t="s">
        <v>35</v>
      </c>
      <c r="L10" s="37" t="s">
        <v>35</v>
      </c>
      <c r="M10" s="37" t="s">
        <v>35</v>
      </c>
      <c r="N10" s="37" t="s">
        <v>35</v>
      </c>
      <c r="O10" s="91" t="s">
        <v>44</v>
      </c>
      <c r="P10" s="31"/>
    </row>
    <row r="11" spans="2:16" ht="18" customHeight="1" x14ac:dyDescent="0.25">
      <c r="B11" s="39">
        <v>2</v>
      </c>
      <c r="C11" s="91" t="s">
        <v>45</v>
      </c>
      <c r="D11" s="91"/>
      <c r="E11" s="77" cm="1">
        <f t="array" ref="E11">SUMPRODUCT((DREAMH!$D$2:$D$766="Its T time")*(DREAMH!$B$2:$B$766="F2. Truyền thông, sinh hoạt nhóm, vòng tròn chia sẻ, trị liệu nghệ thuật")*(DREAMH!$AA$2:$AA$766="Truyền thông")*(DREAMH!$C$2:$C$766=2))</f>
        <v>0</v>
      </c>
      <c r="F11" s="77" cm="1">
        <f t="array" ref="F11">SUMPRODUCT((DREAMH!$D$2:$D$766="Its T time")*(DREAMH!$B$2:$B$766="F2. Truyền thông, sinh hoạt nhóm, vòng tròn chia sẻ, trị liệu nghệ thuật")*(DREAMH!$AA$2:$AA$766="Truyền thông")*(DREAMH!$C$2:$C$766=2)*(INDEX(DREAMH!$K$2:$K$766,MATCH(DREAMH!$A$2:$A$766,DREAMH!$A$2:$A$766,0))="Người sử dụng ma túy (PUD)"))</f>
        <v>0</v>
      </c>
      <c r="G11" s="77" cm="1">
        <f t="array" ref="G11">SUMPRODUCT((DREAMH!$D$2:$D$766="Its T time")*(DREAMH!$B$2:$B$766="F2. Truyền thông, sinh hoạt nhóm, vòng tròn chia sẻ, trị liệu nghệ thuật")*(DREAMH!$AA$2:$AA$766="Truyền thông")*(DREAMH!$C$2:$C$766=2)*(INDEX(DREAMH!$K$2:$K$766,MATCH(DREAMH!$A$2:$A$766,DREAMH!$A$2:$A$766,0))="Người sống chung với HIV (PLHIV)"))</f>
        <v>0</v>
      </c>
      <c r="H11" s="77" cm="1">
        <f t="array" ref="H11">SUMPRODUCT((DREAMH!$D$2:$D$766="Its T time")*(DREAMH!$B$2:$B$766="F2. Truyền thông, sinh hoạt nhóm, vòng tròn chia sẻ, trị liệu nghệ thuật")*(DREAMH!$AA$2:$AA$766="Truyền thông")*(DREAMH!$C$2:$C$766=2)*(INDEX(DREAMH!$K$2:$K$766,MATCH(DREAMH!$A$2:$A$766,DREAMH!$A$2:$A$766,0))="Người chuyển giới (TG)"))</f>
        <v>0</v>
      </c>
      <c r="I11" s="78" cm="1">
        <f t="array" ref="I11">SUMPRODUCT((DREAMH!$D$2:$D$766="Its T time")*(DREAMH!$B$2:$B$766="F2. Truyền thông, sinh hoạt nhóm, vòng tròn chia sẻ, trị liệu nghệ thuật")*(DREAMH!$AA$2:$AA$766="Truyền thông")*(DREAMH!$C$2:$C$766=2)*(INDEX(DREAMH!$K$2:$K$766,MATCH(DREAMH!$A$2:$A$766,DREAMH!$A$2:$A$766,0))="Người bán dâm (SW)"))</f>
        <v>0</v>
      </c>
      <c r="J11" s="78" cm="1">
        <f t="array" ref="J11">SUMPRODUCT((DREAMH!$D$2:$D$766="Its T time")*(DREAMH!$B$2:$B$766="F2. Truyền thông, sinh hoạt nhóm, vòng tròn chia sẻ, trị liệu nghệ thuật")*(DREAMH!$AA$2:$AA$766="Truyền thông")*(DREAMH!$C$2:$C$766=2)*(INDEX(DREAMH!$K$2:$K$766,MATCH(DREAMH!$A$2:$A$766,DREAMH!$A$2:$A$766,0))="Nam quan hệ tình dục đồng giới (MSM)"))</f>
        <v>0</v>
      </c>
      <c r="K11" s="37" t="s">
        <v>35</v>
      </c>
      <c r="L11" s="37" t="s">
        <v>35</v>
      </c>
      <c r="M11" s="37" t="s">
        <v>35</v>
      </c>
      <c r="N11" s="37" t="s">
        <v>35</v>
      </c>
      <c r="O11" s="91"/>
      <c r="P11" s="31"/>
    </row>
    <row r="12" spans="2:16" ht="28.5" customHeight="1" x14ac:dyDescent="0.25">
      <c r="B12" s="20">
        <v>3</v>
      </c>
      <c r="C12" s="95" t="s">
        <v>46</v>
      </c>
      <c r="D12" s="95"/>
      <c r="E12" s="79" cm="1">
        <f t="array" ref="E12">SUMPRODUCT((DREAMH!$D$2:$D$766="Its T time")*(DREAMH!$B$2:$B$766="F2. Truyền thông, sinh hoạt nhóm, vòng tròn chia sẻ, trị liệu nghệ thuật")*(DREAMH!$AA$2:$AA$766="Truyền thông"))</f>
        <v>9</v>
      </c>
      <c r="F12" s="79" cm="1">
        <f t="array" ref="F12">SUMPRODUCT((DREAMH!$D$2:$D$766="Its T time")*(DREAMH!$B$2:$B$766="F2. Truyền thông, sinh hoạt nhóm, vòng tròn chia sẻ, trị liệu nghệ thuật")*(DREAMH!$AA$2:$AA$766="Truyền thông")*(INDEX(DREAMH!$K$2:$K$766,MATCH(DREAMH!$A$2:$A$766,DREAMH!$A$2:$A$766,0))="Người sử dụng ma túy (PUD)"))</f>
        <v>0</v>
      </c>
      <c r="G12" s="79" cm="1">
        <f t="array" ref="G12">SUMPRODUCT((DREAMH!$D$2:$D$766="Its T time")*(DREAMH!$B$2:$B$766="F2. Truyền thông, sinh hoạt nhóm, vòng tròn chia sẻ, trị liệu nghệ thuật")*(DREAMH!$AA$2:$AA$766="Truyền thông")*(INDEX(DREAMH!$K$2:$K$766,MATCH(DREAMH!$A$2:$A$766,DREAMH!$A$2:$A$766,0))="Người sống chung với HIV (PLHIV)"))</f>
        <v>0</v>
      </c>
      <c r="H12" s="79" cm="1">
        <f t="array" ref="H12">SUMPRODUCT((DREAMH!$D$2:$D$766="Its T time")*(DREAMH!$B$2:$B$766="F2. Truyền thông, sinh hoạt nhóm, vòng tròn chia sẻ, trị liệu nghệ thuật")*(DREAMH!$AA$2:$AA$766="Truyền thông")*(INDEX(DREAMH!$K$2:$K$766,MATCH(DREAMH!$A$2:$A$766,DREAMH!$A$2:$A$766,0))="Người chuyển giới (TG)"))</f>
        <v>9</v>
      </c>
      <c r="I12" s="78" cm="1">
        <f t="array" ref="I12">SUMPRODUCT((DREAMH!$D$2:$D$766="Its T time")*(DREAMH!$B$2:$B$766="F2. Truyền thông, sinh hoạt nhóm, vòng tròn chia sẻ, trị liệu nghệ thuật")*(DREAMH!$AA$2:$AA$766="Truyền thông")*(INDEX(DREAMH!$K$2:$K$766,MATCH(DREAMH!$A$2:$A$766,DREAMH!$A$2:$A$766,0))="Người bán dâm (SW)"))</f>
        <v>0</v>
      </c>
      <c r="J12" s="78" cm="1">
        <f t="array" ref="J12">SUMPRODUCT((DREAMH!$D$2:$D$766="Its T time")*(DREAMH!$B$2:$B$766="F2. Truyền thông, sinh hoạt nhóm, vòng tròn chia sẻ, trị liệu nghệ thuật")*(DREAMH!$AA$2:$AA$766="Truyền thông")*(INDEX(DREAMH!$K$2:$K$766,MATCH(DREAMH!$A$2:$A$766,DREAMH!$A$2:$A$766,0))="Nam quan hệ tình dục đồng giới (MSM)"))</f>
        <v>0</v>
      </c>
      <c r="K12" s="37" t="s">
        <v>35</v>
      </c>
      <c r="L12" s="37" t="s">
        <v>35</v>
      </c>
      <c r="M12" s="37" t="s">
        <v>35</v>
      </c>
      <c r="N12" s="37" t="s">
        <v>35</v>
      </c>
      <c r="O12" s="91"/>
      <c r="P12" s="31"/>
    </row>
    <row r="13" spans="2:16" ht="18" customHeight="1" x14ac:dyDescent="0.25">
      <c r="B13" s="26" t="s">
        <v>47</v>
      </c>
      <c r="C13" s="40" t="s">
        <v>48</v>
      </c>
      <c r="D13" s="2"/>
      <c r="E13" s="79"/>
      <c r="F13" s="79"/>
      <c r="G13" s="79"/>
      <c r="H13" s="79"/>
      <c r="I13" s="78"/>
      <c r="J13" s="78"/>
      <c r="K13" s="37"/>
      <c r="L13" s="37"/>
      <c r="M13" s="37"/>
      <c r="N13" s="37"/>
      <c r="O13" s="38" t="s">
        <v>49</v>
      </c>
      <c r="P13" s="31"/>
    </row>
    <row r="14" spans="2:16" s="8" customFormat="1" ht="18" customHeight="1" x14ac:dyDescent="0.25">
      <c r="B14" s="39">
        <v>1</v>
      </c>
      <c r="C14" s="90" t="s">
        <v>50</v>
      </c>
      <c r="D14" s="90"/>
      <c r="E14" s="79" cm="1">
        <f t="array" ref="E14">SUMPRODUCT((DREAMH!$D$2:$D$766="Its T time")*(DREAMH!$B$2:$B$766="F3. Bảng hỏi sàng lọc sức khoẻ tâm thần (QST)")*(DREAMH!$C$2:$C$766=1))</f>
        <v>9</v>
      </c>
      <c r="F14" s="79" cm="1">
        <f t="array" ref="F14">SUMPRODUCT((DREAMH!$D$2:$D$766="Its T time")*(DREAMH!$B$2:$B$766="F3. Bảng hỏi sàng lọc sức khoẻ tâm thần (QST)")*(DREAMH!$C$2:$C$766=1)*(INDEX(DREAMH!$K$2:$K$766,MATCH(DREAMH!$A$2:$A$766,DREAMH!$A$2:$A$766,0))="Người sử dụng ma túy (PUD)"))</f>
        <v>0</v>
      </c>
      <c r="G14" s="79" cm="1">
        <f t="array" ref="G14">SUMPRODUCT((DREAMH!$D$2:$D$766="Its T time")*(DREAMH!$B$2:$B$766="F3. Bảng hỏi sàng lọc sức khoẻ tâm thần (QST)")*(DREAMH!$C$2:$C$766=1)*(INDEX(DREAMH!$K$2:$K$766,MATCH(DREAMH!$A$2:$A$766,DREAMH!$A$2:$A$766,0))="Người sống chung với HIV (PLHIV)"))</f>
        <v>0</v>
      </c>
      <c r="H14" s="79" cm="1">
        <f t="array" ref="H14">SUMPRODUCT((DREAMH!$D$2:$D$766="Its T time")*(DREAMH!$B$2:$B$766="F3. Bảng hỏi sàng lọc sức khoẻ tâm thần (QST)")*(DREAMH!$C$2:$C$766=1)*(INDEX(DREAMH!$K$2:$K$766,MATCH(DREAMH!$A$2:$A$766,DREAMH!$A$2:$A$766,0))="Người chuyển giới (TG)"))</f>
        <v>9</v>
      </c>
      <c r="I14" s="78" cm="1">
        <f t="array" ref="I14">SUMPRODUCT((DREAMH!$D$2:$D$766="Its T time")*(DREAMH!$B$2:$B$766="F3. Bảng hỏi sàng lọc sức khoẻ tâm thần (QST)")*(DREAMH!$C$2:$C$766=1)*(INDEX(DREAMH!$K$2:$K$766,MATCH(DREAMH!$A$2:$A$766,DREAMH!$A$2:$A$766,0))="Người bán dâm (SW)"))</f>
        <v>0</v>
      </c>
      <c r="J14" s="78" cm="1">
        <f t="array" ref="J14">SUMPRODUCT((DREAMH!$D$2:$D$766="Its T time")*(DREAMH!$B$2:$B$766="F3. Bảng hỏi sàng lọc sức khoẻ tâm thần (QST)")*(DREAMH!$C$2:$C$766=1)*(INDEX(DREAMH!$K$2:$K$766,MATCH(DREAMH!$A$2:$A$766,DREAMH!$A$2:$A$766,0))="Nam quan hệ tình dục đồng giới (MSM)"))</f>
        <v>0</v>
      </c>
      <c r="K14" s="37" t="s">
        <v>35</v>
      </c>
      <c r="L14" s="37" t="s">
        <v>35</v>
      </c>
      <c r="M14" s="37" t="s">
        <v>35</v>
      </c>
      <c r="N14" s="37" t="s">
        <v>35</v>
      </c>
      <c r="O14" s="42"/>
      <c r="P14" s="31"/>
    </row>
    <row r="15" spans="2:16" s="8" customFormat="1" ht="18" customHeight="1" x14ac:dyDescent="0.3">
      <c r="B15" s="20"/>
      <c r="C15" s="43" t="s">
        <v>51</v>
      </c>
      <c r="D15" s="44" t="s">
        <v>52</v>
      </c>
      <c r="E15" s="79" cm="1">
        <f t="array" ref="E15">SUMPRODUCT((DREAMH!$D$2:$D$766="Its T time")*(DREAMH!$B$2:$B$766="F3. Bảng hỏi sàng lọc sức khoẻ tâm thần (QST)")*(DREAMH!$C$2:$C$766=1)*(DREAMH!$BC$2:$BC$766&gt;=8))</f>
        <v>9</v>
      </c>
      <c r="F15" s="79" cm="1">
        <f t="array" ref="F15">SUMPRODUCT((DREAMH!$D$2:$D$766="Its T time")*(DREAMH!$B$2:$B$766="F3. Bảng hỏi sàng lọc sức khoẻ tâm thần (QST)")*(DREAMH!$C$2:$C$766=1)*(DREAMH!$BC$2:$BC$766&gt;=8)*(INDEX(DREAMH!$K$2:$K$766,MATCH(DREAMH!$A$2:$A$766,DREAMH!$A$2:$A$766,0))="Người sử dụng ma túy (PUD)"))</f>
        <v>0</v>
      </c>
      <c r="G15" s="79" cm="1">
        <f t="array" ref="G15">SUMPRODUCT((DREAMH!$D$2:$D$766="Its T time")*(DREAMH!$B$2:$B$766="F3. Bảng hỏi sàng lọc sức khoẻ tâm thần (QST)")*(DREAMH!$C$2:$C$766=1)*(DREAMH!$BC$2:$BC$766&gt;=8)*(INDEX(DREAMH!$K$2:$K$766,MATCH(DREAMH!$A$2:$A$766,DREAMH!$A$2:$A$766,0))="Người sống chung với HIV (PLHIV)"))</f>
        <v>0</v>
      </c>
      <c r="H15" s="79" cm="1">
        <f t="array" ref="H15">SUMPRODUCT((DREAMH!$D$2:$D$766="Its T time")*(DREAMH!$B$2:$B$766="F3. Bảng hỏi sàng lọc sức khoẻ tâm thần (QST)")*(DREAMH!$C$2:$C$766=1)*(DREAMH!$BC$2:$BC$766&gt;=8)*(INDEX(DREAMH!$K$2:$K$766,MATCH(DREAMH!$A$2:$A$766,DREAMH!$A$2:$A$766,0))="Người chuyển giới (TG)"))</f>
        <v>9</v>
      </c>
      <c r="I15" s="78" cm="1">
        <f t="array" ref="I15">SUMPRODUCT((DREAMH!$D$2:$D$766="Its T time")*(DREAMH!$B$2:$B$766="F3. Bảng hỏi sàng lọc sức khoẻ tâm thần (QST)")*(DREAMH!$C$2:$C$766=1)*(DREAMH!$BC$2:$BC$766&gt;=8)*(INDEX(DREAMH!$K$2:$K$766,MATCH(DREAMH!$A$2:$A$766,DREAMH!$A$2:$A$766,0))="Người bán dâm (SW)"))</f>
        <v>0</v>
      </c>
      <c r="J15" s="78" cm="1">
        <f t="array" ref="J15">SUMPRODUCT((DREAMH!$D$2:$D$766="Its T time")*(DREAMH!$B$2:$B$766="F3. Bảng hỏi sàng lọc sức khoẻ tâm thần (QST)")*(DREAMH!$C$2:$C$766=1)*(DREAMH!$BC$2:$BC$766&gt;=8)*(INDEX(DREAMH!$K$2:$K$766,MATCH(DREAMH!$A$2:$A$766,DREAMH!$A$2:$A$766,0))="Nam quan hệ tình dục đồng giới (MSM)"))</f>
        <v>0</v>
      </c>
      <c r="K15" s="37" t="s">
        <v>35</v>
      </c>
      <c r="L15" s="37" t="s">
        <v>35</v>
      </c>
      <c r="M15" s="37" t="s">
        <v>35</v>
      </c>
      <c r="N15" s="37" t="s">
        <v>35</v>
      </c>
      <c r="O15" s="42"/>
      <c r="P15" s="31"/>
    </row>
    <row r="16" spans="2:16" s="8" customFormat="1" ht="18" customHeight="1" x14ac:dyDescent="0.3">
      <c r="B16" s="20"/>
      <c r="C16" s="43"/>
      <c r="D16" s="44" t="s">
        <v>53</v>
      </c>
      <c r="E16" s="79" cm="1">
        <f t="array" ref="E16">SUMPRODUCT((DREAMH!$D$2:$D$766="Its T time")*(DREAMH!$B$2:$B$766="F3. Bảng hỏi sàng lọc sức khoẻ tâm thần (QST)")*(DREAMH!$C$2:$C$766=1)*(DREAMH!$BC$2:$BC$766&gt;=6)*(DREAMH!$BC$2:$BC$766&lt;=7))</f>
        <v>0</v>
      </c>
      <c r="F16" s="79" cm="1">
        <f t="array" ref="F16">SUMPRODUCT((DREAMH!$D$2:$D$766="Its T time")*(DREAMH!$B$2:$B$766="F3. Bảng hỏi sàng lọc sức khoẻ tâm thần (QST)")*(DREAMH!$C$2:$C$766=1)*(DREAMH!$BC$2:$BC$766&gt;=6)*(DREAMH!$BC$2:$BC$766&lt;=7)*(INDEX(DREAMH!$K$2:$K$766,MATCH(DREAMH!$A$2:$A$766,DREAMH!$A$2:$A$766,0))="Người sử dụng ma túy (PUD)"))</f>
        <v>0</v>
      </c>
      <c r="G16" s="79" cm="1">
        <f t="array" ref="G16">SUMPRODUCT((DREAMH!$D$2:$D$766="Its T time")*(DREAMH!$B$2:$B$766="F3. Bảng hỏi sàng lọc sức khoẻ tâm thần (QST)")*(DREAMH!$C$2:$C$766=1)*(DREAMH!$BC$2:$BC$766&gt;=6)*(DREAMH!$BC$2:$BC$766&lt;=7)*(INDEX(DREAMH!$K$2:$K$766,MATCH(DREAMH!$A$2:$A$766,DREAMH!$A$2:$A$766,0))="Người sống chung với HIV (PLHIV)"))</f>
        <v>0</v>
      </c>
      <c r="H16" s="79" cm="1">
        <f t="array" ref="H16">SUMPRODUCT((DREAMH!$D$2:$D$766="Its T time")*(DREAMH!$B$2:$B$766="F3. Bảng hỏi sàng lọc sức khoẻ tâm thần (QST)")*(DREAMH!$C$2:$C$766=1)*(DREAMH!$BC$2:$BC$766&gt;=6)*(DREAMH!$BC$2:$BC$766&lt;=7)*(INDEX(DREAMH!$K$2:$K$766,MATCH(DREAMH!$A$2:$A$766,DREAMH!$A$2:$A$766,0))="Người chuyển giới (TG)"))</f>
        <v>0</v>
      </c>
      <c r="I16" s="78" cm="1">
        <f t="array" ref="I16">SUMPRODUCT((DREAMH!$D$2:$D$766="Its T time")*(DREAMH!$B$2:$B$766="F3. Bảng hỏi sàng lọc sức khoẻ tâm thần (QST)")*(DREAMH!$C$2:$C$766=1)*(DREAMH!$BC$2:$BC$766&gt;=6)*(DREAMH!$BC$2:$BC$766&lt;=7)*(INDEX(DREAMH!$K$2:$K$766,MATCH(DREAMH!$A$2:$A$766,DREAMH!$A$2:$A$766,0))="Người bán dâm (SW)"))</f>
        <v>0</v>
      </c>
      <c r="J16" s="78" cm="1">
        <f t="array" ref="J16">SUMPRODUCT((DREAMH!$D$2:$D$766="Its T time")*(DREAMH!$B$2:$B$766="F3. Bảng hỏi sàng lọc sức khoẻ tâm thần (QST)")*(DREAMH!$C$2:$C$766=1)*(DREAMH!$BC$2:$BC$766&gt;=6)*(DREAMH!$BC$2:$BC$766&lt;=7)*(INDEX(DREAMH!$K$2:$K$766,MATCH(DREAMH!$A$2:$A$766,DREAMH!$A$2:$A$766,0))="Nam quan hệ tình dục đồng giới (MSM)"))</f>
        <v>0</v>
      </c>
      <c r="K16" s="37" t="s">
        <v>35</v>
      </c>
      <c r="L16" s="37" t="s">
        <v>35</v>
      </c>
      <c r="M16" s="37" t="s">
        <v>35</v>
      </c>
      <c r="N16" s="37" t="s">
        <v>35</v>
      </c>
      <c r="O16" s="42"/>
      <c r="P16" s="31"/>
    </row>
    <row r="17" spans="2:16" s="8" customFormat="1" ht="18" customHeight="1" x14ac:dyDescent="0.3">
      <c r="B17" s="20"/>
      <c r="C17" s="43"/>
      <c r="D17" s="44" t="s">
        <v>54</v>
      </c>
      <c r="E17" s="79" cm="1">
        <f t="array" ref="E17">SUMPRODUCT((DREAMH!$D$2:$D$766="Its T time")*(DREAMH!$B$2:$B$766="F3. Bảng hỏi sàng lọc sức khoẻ tâm thần (QST)")*(DREAMH!$C$2:$C$766=1)*(DREAMH!$BC$2:$BC$766&gt;=4)*(DREAMH!$BC$2:$BC$766&lt;=5))</f>
        <v>0</v>
      </c>
      <c r="F17" s="79" cm="1">
        <f t="array" ref="F17">SUMPRODUCT((DREAMH!$D$2:$D$766="Its T time")*(DREAMH!$B$2:$B$766="F3. Bảng hỏi sàng lọc sức khoẻ tâm thần (QST)")*(DREAMH!$C$2:$C$766=1)*(DREAMH!$BC$2:$BC$766&gt;=4)*(DREAMH!$BC$2:$BC$766&lt;=5)*(INDEX(DREAMH!$K$2:$K$766,MATCH(DREAMH!$A$2:$A$766,DREAMH!$A$2:$A$766,0))="Người sử dụng ma túy (PUD)"))</f>
        <v>0</v>
      </c>
      <c r="G17" s="79" cm="1">
        <f t="array" ref="G17">SUMPRODUCT((DREAMH!$D$2:$D$766="Its T time")*(DREAMH!$B$2:$B$766="F3. Bảng hỏi sàng lọc sức khoẻ tâm thần (QST)")*(DREAMH!$C$2:$C$766=1)*(DREAMH!$BC$2:$BC$766&gt;=4)*(DREAMH!$BC$2:$BC$766&lt;=5)*(INDEX(DREAMH!$K$2:$K$766,MATCH(DREAMH!$A$2:$A$766,DREAMH!$A$2:$A$766,0))="Người sống chung với HIV (PLHIV)"))</f>
        <v>0</v>
      </c>
      <c r="H17" s="79" cm="1">
        <f t="array" ref="H17">SUMPRODUCT((DREAMH!$D$2:$D$766="Its T time")*(DREAMH!$B$2:$B$766="F3. Bảng hỏi sàng lọc sức khoẻ tâm thần (QST)")*(DREAMH!$C$2:$C$766=1)*(DREAMH!$BC$2:$BC$766&gt;=4)*(DREAMH!$BC$2:$BC$766&lt;=5)*(INDEX(DREAMH!$K$2:$K$766,MATCH(DREAMH!$A$2:$A$766,DREAMH!$A$2:$A$766,0))="Người chuyển giới (TG)"))</f>
        <v>0</v>
      </c>
      <c r="I17" s="78" cm="1">
        <f t="array" ref="I17">SUMPRODUCT((DREAMH!$D$2:$D$766="Its T time")*(DREAMH!$B$2:$B$766="F3. Bảng hỏi sàng lọc sức khoẻ tâm thần (QST)")*(DREAMH!$C$2:$C$766=1)*(DREAMH!$BC$2:$BC$766&gt;=4)*(DREAMH!$BC$2:$BC$766&lt;=5)*(INDEX(DREAMH!$K$2:$K$766,MATCH(DREAMH!$A$2:$A$766,DREAMH!$A$2:$A$766,0))="Người bán dâm (SW)"))</f>
        <v>0</v>
      </c>
      <c r="J17" s="78" cm="1">
        <f t="array" ref="J17">SUMPRODUCT((DREAMH!$D$2:$D$766="Its T time")*(DREAMH!$B$2:$B$766="F3. Bảng hỏi sàng lọc sức khoẻ tâm thần (QST)")*(DREAMH!$C$2:$C$766=1)*(DREAMH!$BC$2:$BC$766&gt;=4)*(DREAMH!$BC$2:$BC$766&lt;=5)*(INDEX(DREAMH!$K$2:$K$766,MATCH(DREAMH!$A$2:$A$766,DREAMH!$A$2:$A$766,0))="Nam quan hệ tình dục đồng giới (MSM)"))</f>
        <v>0</v>
      </c>
      <c r="K17" s="37" t="s">
        <v>35</v>
      </c>
      <c r="L17" s="37" t="s">
        <v>35</v>
      </c>
      <c r="M17" s="37" t="s">
        <v>35</v>
      </c>
      <c r="N17" s="37" t="s">
        <v>35</v>
      </c>
      <c r="O17" s="42"/>
      <c r="P17" s="31"/>
    </row>
    <row r="18" spans="2:16" s="8" customFormat="1" ht="18" customHeight="1" x14ac:dyDescent="0.3">
      <c r="B18" s="20"/>
      <c r="C18" s="43"/>
      <c r="D18" s="44" t="s">
        <v>55</v>
      </c>
      <c r="E18" s="79" cm="1">
        <f t="array" ref="E18">SUMPRODUCT((DREAMH!$D$2:$D$766="Its T time")*(DREAMH!$B$2:$B$766="F3. Bảng hỏi sàng lọc sức khoẻ tâm thần (QST)")*(DREAMH!$C$2:$C$766=1)*(DREAMH!$BC$2:$BC$766&lt;4))</f>
        <v>0</v>
      </c>
      <c r="F18" s="79" cm="1">
        <f t="array" ref="F18">SUMPRODUCT((DREAMH!$D$2:$D$766="Its T time")*(DREAMH!$B$2:$B$766="F3. Bảng hỏi sàng lọc sức khoẻ tâm thần (QST)")*(DREAMH!$C$2:$C$766=1)*(DREAMH!$BC$2:$BC$766&lt;4)*(INDEX(DREAMH!$K$2:$K$766,MATCH(DREAMH!$A$2:$A$766,DREAMH!$A$2:$A$766,0))="Người sử dụng ma túy (PUD)"))</f>
        <v>0</v>
      </c>
      <c r="G18" s="79" cm="1">
        <f t="array" ref="G18">SUMPRODUCT((DREAMH!$D$2:$D$766="Its T time")*(DREAMH!$B$2:$B$766="F3. Bảng hỏi sàng lọc sức khoẻ tâm thần (QST)")*(DREAMH!$C$2:$C$766=1)*(DREAMH!$BC$2:$BC$766&lt;4)*(INDEX(DREAMH!$K$2:$K$766,MATCH(DREAMH!$A$2:$A$766,DREAMH!$A$2:$A$766,0))="Người sống chung với HIV (PLHIV)"))</f>
        <v>0</v>
      </c>
      <c r="H18" s="79" cm="1">
        <f t="array" ref="H18">SUMPRODUCT((DREAMH!$D$2:$D$766="Its T time")*(DREAMH!$B$2:$B$766="F3. Bảng hỏi sàng lọc sức khoẻ tâm thần (QST)")*(DREAMH!$C$2:$C$766=1)*(DREAMH!$BC$2:$BC$766&lt;4)*(INDEX(DREAMH!$K$2:$K$766,MATCH(DREAMH!$A$2:$A$766,DREAMH!$A$2:$A$766,0))="Người chuyển giới (TG)"))</f>
        <v>0</v>
      </c>
      <c r="I18" s="78" cm="1">
        <f t="array" ref="I18">SUMPRODUCT((DREAMH!$D$2:$D$766="Its T time")*(DREAMH!$B$2:$B$766="F3. Bảng hỏi sàng lọc sức khoẻ tâm thần (QST)")*(DREAMH!$C$2:$C$766=1)*(DREAMH!$BC$2:$BC$766&lt;4)*(INDEX(DREAMH!$K$2:$K$766,MATCH(DREAMH!$A$2:$A$766,DREAMH!$A$2:$A$766,0))="Người bán dâm (SW)"))</f>
        <v>0</v>
      </c>
      <c r="J18" s="78" cm="1">
        <f t="array" ref="J18">SUMPRODUCT((DREAMH!$D$2:$D$766="Its T time")*(DREAMH!$B$2:$B$766="F3. Bảng hỏi sàng lọc sức khoẻ tâm thần (QST)")*(DREAMH!$C$2:$C$766=1)*(DREAMH!$BC$2:$BC$766&lt;4)*(INDEX(DREAMH!$K$2:$K$766,MATCH(DREAMH!$A$2:$A$766,DREAMH!$A$2:$A$766,0))="Nam quan hệ tình dục đồng giới (MSM)"))</f>
        <v>0</v>
      </c>
      <c r="K18" s="37" t="s">
        <v>35</v>
      </c>
      <c r="L18" s="37" t="s">
        <v>35</v>
      </c>
      <c r="M18" s="37" t="s">
        <v>35</v>
      </c>
      <c r="N18" s="37" t="s">
        <v>35</v>
      </c>
      <c r="O18" s="42"/>
      <c r="P18" s="31"/>
    </row>
    <row r="19" spans="2:16" s="8" customFormat="1" ht="18" customHeight="1" x14ac:dyDescent="0.25">
      <c r="B19" s="39">
        <v>2</v>
      </c>
      <c r="C19" s="90" t="s">
        <v>56</v>
      </c>
      <c r="D19" s="90"/>
      <c r="E19" s="79" cm="1">
        <f t="array" ref="E19">SUMPRODUCT((DREAMH!$D$2:$D$766="Its T time")*(DREAMH!$B$2:$B$766="F3. Bảng hỏi sàng lọc sức khoẻ tâm thần (QST)")*(DREAMH!$C$2:$C$766&gt;=2))</f>
        <v>0</v>
      </c>
      <c r="F19" s="79" cm="1">
        <f t="array" ref="F19">SUMPRODUCT((DREAMH!$D$2:$D$766="Its T time")*(DREAMH!$B$2:$B$766="F3. Bảng hỏi sàng lọc sức khoẻ tâm thần (QST)")*(DREAMH!$C$2:$C$766&gt;=2)*(INDEX(DREAMH!$K$2:$K$766,MATCH(DREAMH!$A$2:$A$766,DREAMH!$A$2:$A$766,0))="Người sử dụng ma túy (PUD)"))</f>
        <v>0</v>
      </c>
      <c r="G19" s="79" cm="1">
        <f t="array" ref="G19">SUMPRODUCT((DREAMH!$D$2:$D$766="Its T time")*(DREAMH!$B$2:$B$766="F3. Bảng hỏi sàng lọc sức khoẻ tâm thần (QST)")*(DREAMH!$C$2:$C$766&gt;=2)*(INDEX(DREAMH!$K$2:$K$766,MATCH(DREAMH!$A$2:$A$766,DREAMH!$A$2:$A$766,0))="Người sống chung với HIV (PLHIV)"))</f>
        <v>0</v>
      </c>
      <c r="H19" s="79" cm="1">
        <f t="array" ref="H19">SUMPRODUCT((DREAMH!$D$2:$D$766="Its T time")*(DREAMH!$B$2:$B$766="F3. Bảng hỏi sàng lọc sức khoẻ tâm thần (QST)")*(DREAMH!$C$2:$C$766&gt;=2)*(INDEX(DREAMH!$K$2:$K$766,MATCH(DREAMH!$A$2:$A$766,DREAMH!$A$2:$A$766,0))="Người chuyển giới (TG)"))</f>
        <v>0</v>
      </c>
      <c r="I19" s="78" cm="1">
        <f t="array" ref="I19">SUMPRODUCT((DREAMH!$D$2:$D$766="Its T time")*(DREAMH!$B$2:$B$766="F3. Bảng hỏi sàng lọc sức khoẻ tâm thần (QST)")*(DREAMH!$C$2:$C$766&gt;=2)*(INDEX(DREAMH!$K$2:$K$766,MATCH(DREAMH!$A$2:$A$766,DREAMH!$A$2:$A$766,0))="Người bán dâm (SW)"))</f>
        <v>0</v>
      </c>
      <c r="J19" s="78" cm="1">
        <f t="array" ref="J19">SUMPRODUCT((DREAMH!$D$2:$D$766="Its T time")*(DREAMH!$B$2:$B$766="F3. Bảng hỏi sàng lọc sức khoẻ tâm thần (QST)")*(DREAMH!$C$2:$C$766&gt;=2)*(INDEX(DREAMH!$K$2:$K$766,MATCH(DREAMH!$A$2:$A$766,DREAMH!$A$2:$A$766,0))="Nam quan hệ tình dục đồng giới (MSM)"))</f>
        <v>0</v>
      </c>
      <c r="K19" s="37" t="s">
        <v>35</v>
      </c>
      <c r="L19" s="37" t="s">
        <v>35</v>
      </c>
      <c r="M19" s="37" t="s">
        <v>35</v>
      </c>
      <c r="N19" s="37" t="s">
        <v>35</v>
      </c>
      <c r="O19" s="35" t="s">
        <v>57</v>
      </c>
      <c r="P19" s="31"/>
    </row>
    <row r="20" spans="2:16" s="8" customFormat="1" ht="18" customHeight="1" x14ac:dyDescent="0.3">
      <c r="B20" s="20"/>
      <c r="C20" s="43" t="s">
        <v>58</v>
      </c>
      <c r="D20" s="44" t="s">
        <v>52</v>
      </c>
      <c r="E20" s="79" cm="1">
        <f t="array" ref="E20">SUMPRODUCT((DREAMH!$D$2:$D$766="Its T time")*(DREAMH!$B$2:$B$766="F3. Bảng hỏi sàng lọc sức khoẻ tâm thần (QST)")*(DREAMH!$C$2:$C$766&gt;=2)*(DREAMH!$BC$2:$BC$766&gt;=8))</f>
        <v>0</v>
      </c>
      <c r="F20" s="79" cm="1">
        <f t="array" ref="F20">SUMPRODUCT((DREAMH!$D$2:$D$766="Its T time")*(DREAMH!$B$2:$B$766="F3. Bảng hỏi sàng lọc sức khoẻ tâm thần (QST)")*(DREAMH!$C$2:$C$766&gt;=2)*(DREAMH!$BC$2:$BC$766&gt;=8)*(INDEX(DREAMH!$K$2:$K$766,MATCH(DREAMH!$A$2:$A$766,DREAMH!$A$2:$A$766,0))="Người sử dụng ma túy (PUD)"))</f>
        <v>0</v>
      </c>
      <c r="G20" s="79" cm="1">
        <f t="array" ref="G20">SUMPRODUCT((DREAMH!$D$2:$D$766="Its T time")*(DREAMH!$B$2:$B$766="F3. Bảng hỏi sàng lọc sức khoẻ tâm thần (QST)")*(DREAMH!$C$2:$C$766&gt;=2)*(DREAMH!$BC$2:$BC$766&gt;=8)*(INDEX(DREAMH!$K$2:$K$766,MATCH(DREAMH!$A$2:$A$766,DREAMH!$A$2:$A$766,0))="Người sống chung với HIV (PLHIV)"))</f>
        <v>0</v>
      </c>
      <c r="H20" s="79" cm="1">
        <f t="array" ref="H20">SUMPRODUCT((DREAMH!$D$2:$D$766="Its T time")*(DREAMH!$B$2:$B$766="F3. Bảng hỏi sàng lọc sức khoẻ tâm thần (QST)")*(DREAMH!$C$2:$C$766&gt;=2)*(DREAMH!$BC$2:$BC$766&gt;=8)*(INDEX(DREAMH!$K$2:$K$766,MATCH(DREAMH!$A$2:$A$766,DREAMH!$A$2:$A$766,0))="Người chuyển giới (TG)"))</f>
        <v>0</v>
      </c>
      <c r="I20" s="78" cm="1">
        <f t="array" ref="I20">SUMPRODUCT((DREAMH!$D$2:$D$766="Its T time")*(DREAMH!$B$2:$B$766="F3. Bảng hỏi sàng lọc sức khoẻ tâm thần (QST)")*(DREAMH!$C$2:$C$766&gt;=2)*(DREAMH!$BC$2:$BC$766&gt;=8)*(INDEX(DREAMH!$K$2:$K$766,MATCH(DREAMH!$A$2:$A$766,DREAMH!$A$2:$A$766,0))="Người bán dâm (SW)"))</f>
        <v>0</v>
      </c>
      <c r="J20" s="78" cm="1">
        <f t="array" ref="J20">SUMPRODUCT((DREAMH!$D$2:$D$766="Its T time")*(DREAMH!$B$2:$B$766="F3. Bảng hỏi sàng lọc sức khoẻ tâm thần (QST)")*(DREAMH!$C$2:$C$766&gt;=2)*(DREAMH!$BC$2:$BC$766&gt;=8)*(INDEX(DREAMH!$K$2:$K$766,MATCH(DREAMH!$A$2:$A$766,DREAMH!$A$2:$A$766,0))="Nam quan hệ tình dục đồng giới (MSM)"))</f>
        <v>0</v>
      </c>
      <c r="K20" s="37" t="s">
        <v>35</v>
      </c>
      <c r="L20" s="37" t="s">
        <v>35</v>
      </c>
      <c r="M20" s="37" t="s">
        <v>35</v>
      </c>
      <c r="N20" s="37" t="s">
        <v>35</v>
      </c>
      <c r="O20" s="42"/>
      <c r="P20" s="31"/>
    </row>
    <row r="21" spans="2:16" s="8" customFormat="1" ht="18" customHeight="1" x14ac:dyDescent="0.3">
      <c r="B21" s="20"/>
      <c r="C21" s="43"/>
      <c r="D21" s="44" t="s">
        <v>53</v>
      </c>
      <c r="E21" s="79" cm="1">
        <f t="array" ref="E21">SUMPRODUCT((DREAMH!$D$2:$D$766="Its T time")*(DREAMH!$B$2:$B$766="F3. Bảng hỏi sàng lọc sức khoẻ tâm thần (QST)")*(DREAMH!$C$2:$C$766&gt;=2)*(DREAMH!$BC$2:$BC$766&gt;=6)*(DREAMH!$BC$2:$BC$766&lt;=7))</f>
        <v>0</v>
      </c>
      <c r="F21" s="79" cm="1">
        <f t="array" ref="F21">SUMPRODUCT((DREAMH!$D$2:$D$766="Its T time")*(DREAMH!$B$2:$B$766="F3. Bảng hỏi sàng lọc sức khoẻ tâm thần (QST)")*(DREAMH!$C$2:$C$766&gt;=2)*(DREAMH!$BC$2:$BC$766&gt;=6)*(DREAMH!$BC$2:$BC$766&lt;=7)*(INDEX(DREAMH!$K$2:$K$766,MATCH(DREAMH!$A$2:$A$766,DREAMH!$A$2:$A$766,0))="Người sử dụng ma túy (PUD)"))</f>
        <v>0</v>
      </c>
      <c r="G21" s="79" cm="1">
        <f t="array" ref="G21">SUMPRODUCT((DREAMH!$D$2:$D$766="Its T time")*(DREAMH!$B$2:$B$766="F3. Bảng hỏi sàng lọc sức khoẻ tâm thần (QST)")*(DREAMH!$C$2:$C$766&gt;=2)*(DREAMH!$BC$2:$BC$766&gt;=6)*(DREAMH!$BC$2:$BC$766&lt;=7)*(INDEX(DREAMH!$K$2:$K$766,MATCH(DREAMH!$A$2:$A$766,DREAMH!$A$2:$A$766,0))="Người sống chung với HIV (PLHIV)"))</f>
        <v>0</v>
      </c>
      <c r="H21" s="79" cm="1">
        <f t="array" ref="H21">SUMPRODUCT((DREAMH!$D$2:$D$766="Its T time")*(DREAMH!$B$2:$B$766="F3. Bảng hỏi sàng lọc sức khoẻ tâm thần (QST)")*(DREAMH!$C$2:$C$766&gt;=2)*(DREAMH!$BC$2:$BC$766&gt;=6)*(DREAMH!$BC$2:$BC$766&lt;=7)*(INDEX(DREAMH!$K$2:$K$766,MATCH(DREAMH!$A$2:$A$766,DREAMH!$A$2:$A$766,0))="Người chuyển giới (TG)"))</f>
        <v>0</v>
      </c>
      <c r="I21" s="78" cm="1">
        <f t="array" ref="I21">SUMPRODUCT((DREAMH!$D$2:$D$766="Its T time")*(DREAMH!$B$2:$B$766="F3. Bảng hỏi sàng lọc sức khoẻ tâm thần (QST)")*(DREAMH!$C$2:$C$766&gt;=2)*(DREAMH!$BC$2:$BC$766&gt;=6)*(DREAMH!$BC$2:$BC$766&lt;=7)*(INDEX(DREAMH!$K$2:$K$766,MATCH(DREAMH!$A$2:$A$766,DREAMH!$A$2:$A$766,0))="Người bán dâm (SW)"))</f>
        <v>0</v>
      </c>
      <c r="J21" s="78" cm="1">
        <f t="array" ref="J21">SUMPRODUCT((DREAMH!$D$2:$D$766="Its T time")*(DREAMH!$B$2:$B$766="F3. Bảng hỏi sàng lọc sức khoẻ tâm thần (QST)")*(DREAMH!$C$2:$C$766&gt;=2)*(DREAMH!$BC$2:$BC$766&gt;=6)*(DREAMH!$BC$2:$BC$766&lt;=7)*(INDEX(DREAMH!$K$2:$K$766,MATCH(DREAMH!$A$2:$A$766,DREAMH!$A$2:$A$766,0))="Nam quan hệ tình dục đồng giới (MSM)"))</f>
        <v>0</v>
      </c>
      <c r="K21" s="37" t="s">
        <v>35</v>
      </c>
      <c r="L21" s="37" t="s">
        <v>35</v>
      </c>
      <c r="M21" s="37" t="s">
        <v>35</v>
      </c>
      <c r="N21" s="37" t="s">
        <v>35</v>
      </c>
      <c r="O21" s="42"/>
      <c r="P21" s="31"/>
    </row>
    <row r="22" spans="2:16" s="8" customFormat="1" ht="18" customHeight="1" x14ac:dyDescent="0.3">
      <c r="B22" s="20"/>
      <c r="C22" s="43"/>
      <c r="D22" s="44" t="s">
        <v>54</v>
      </c>
      <c r="E22" s="79" cm="1">
        <f t="array" ref="E22">SUMPRODUCT((DREAMH!$D$2:$D$766="Its T time")*(DREAMH!$B$2:$B$766="F3. Bảng hỏi sàng lọc sức khoẻ tâm thần (QST)")*(DREAMH!$C$2:$C$766&gt;=2)*(DREAMH!$BC$2:$BC$766&gt;=4)*(DREAMH!$BC$2:$BC$766&lt;=5))</f>
        <v>0</v>
      </c>
      <c r="F22" s="79" cm="1">
        <f t="array" ref="F22">SUMPRODUCT((DREAMH!$D$2:$D$766="Its T time")*(DREAMH!$B$2:$B$766="F3. Bảng hỏi sàng lọc sức khoẻ tâm thần (QST)")*(DREAMH!$C$2:$C$766&gt;=2)*(DREAMH!$BC$2:$BC$766&gt;=4)*(DREAMH!$BC$2:$BC$766&lt;=5)*(INDEX(DREAMH!$K$2:$K$766,MATCH(DREAMH!$A$2:$A$766,DREAMH!$A$2:$A$766,0))="Người sử dụng ma túy (PUD)"))</f>
        <v>0</v>
      </c>
      <c r="G22" s="79" cm="1">
        <f t="array" ref="G22">SUMPRODUCT((DREAMH!$D$2:$D$766="Its T time")*(DREAMH!$B$2:$B$766="F3. Bảng hỏi sàng lọc sức khoẻ tâm thần (QST)")*(DREAMH!$C$2:$C$766&gt;=2)*(DREAMH!$BC$2:$BC$766&gt;=4)*(DREAMH!$BC$2:$BC$766&lt;=5)*(INDEX(DREAMH!$K$2:$K$766,MATCH(DREAMH!$A$2:$A$766,DREAMH!$A$2:$A$766,0))="Người sống chung với HIV (PLHIV)"))</f>
        <v>0</v>
      </c>
      <c r="H22" s="79" cm="1">
        <f t="array" ref="H22">SUMPRODUCT((DREAMH!$D$2:$D$766="Its T time")*(DREAMH!$B$2:$B$766="F3. Bảng hỏi sàng lọc sức khoẻ tâm thần (QST)")*(DREAMH!$C$2:$C$766&gt;=2)*(DREAMH!$BC$2:$BC$766&gt;=4)*(DREAMH!$BC$2:$BC$766&lt;=5)*(INDEX(DREAMH!$K$2:$K$766,MATCH(DREAMH!$A$2:$A$766,DREAMH!$A$2:$A$766,0))="Người chuyển giới (TG)"))</f>
        <v>0</v>
      </c>
      <c r="I22" s="78" cm="1">
        <f t="array" ref="I22">SUMPRODUCT((DREAMH!$D$2:$D$766="Its T time")*(DREAMH!$B$2:$B$766="F3. Bảng hỏi sàng lọc sức khoẻ tâm thần (QST)")*(DREAMH!$C$2:$C$766&gt;=2)*(DREAMH!$BC$2:$BC$766&gt;=4)*(DREAMH!$BC$2:$BC$766&lt;=5)*(INDEX(DREAMH!$K$2:$K$766,MATCH(DREAMH!$A$2:$A$766,DREAMH!$A$2:$A$766,0))="Người bán dâm (SW)"))</f>
        <v>0</v>
      </c>
      <c r="J22" s="78" cm="1">
        <f t="array" ref="J22">SUMPRODUCT((DREAMH!$D$2:$D$766="Its T time")*(DREAMH!$B$2:$B$766="F3. Bảng hỏi sàng lọc sức khoẻ tâm thần (QST)")*(DREAMH!$C$2:$C$766&gt;=2)*(DREAMH!$BC$2:$BC$766&gt;=4)*(DREAMH!$BC$2:$BC$766&lt;=5)*(INDEX(DREAMH!$K$2:$K$766,MATCH(DREAMH!$A$2:$A$766,DREAMH!$A$2:$A$766,0))="Nam quan hệ tình dục đồng giới (MSM)"))</f>
        <v>0</v>
      </c>
      <c r="K22" s="37" t="s">
        <v>35</v>
      </c>
      <c r="L22" s="37" t="s">
        <v>35</v>
      </c>
      <c r="M22" s="37" t="s">
        <v>35</v>
      </c>
      <c r="N22" s="37" t="s">
        <v>35</v>
      </c>
      <c r="O22" s="42"/>
      <c r="P22" s="31"/>
    </row>
    <row r="23" spans="2:16" s="8" customFormat="1" ht="18" customHeight="1" x14ac:dyDescent="0.3">
      <c r="B23" s="20"/>
      <c r="C23" s="43"/>
      <c r="D23" s="44" t="s">
        <v>55</v>
      </c>
      <c r="E23" s="79" cm="1">
        <f t="array" ref="E23">SUMPRODUCT((DREAMH!$D$2:$D$766="Its T time")*(DREAMH!$B$2:$B$766="F3. Bảng hỏi sàng lọc sức khoẻ tâm thần (QST)")*(DREAMH!$C$2:$C$766&gt;=2)*(DREAMH!$BC$2:$BC$766&lt;4))</f>
        <v>0</v>
      </c>
      <c r="F23" s="79" cm="1">
        <f t="array" ref="F23">SUMPRODUCT((DREAMH!$D$2:$D$766="Its T time")*(DREAMH!$B$2:$B$766="F3. Bảng hỏi sàng lọc sức khoẻ tâm thần (QST)")*(DREAMH!$C$2:$C$766&gt;=2)*(DREAMH!$BC$2:$BC$766&lt;4)*(INDEX(DREAMH!$K$2:$K$766,MATCH(DREAMH!$A$2:$A$766,DREAMH!$A$2:$A$766,0))="Người sử dụng ma túy (PUD)"))</f>
        <v>0</v>
      </c>
      <c r="G23" s="79" cm="1">
        <f t="array" ref="G23">SUMPRODUCT((DREAMH!$D$2:$D$766="Its T time")*(DREAMH!$B$2:$B$766="F3. Bảng hỏi sàng lọc sức khoẻ tâm thần (QST)")*(DREAMH!$C$2:$C$766&gt;=2)*(DREAMH!$BC$2:$BC$766&lt;4)*(INDEX(DREAMH!$K$2:$K$766,MATCH(DREAMH!$A$2:$A$766,DREAMH!$A$2:$A$766,0))="Người sống chung với HIV (PLHIV)"))</f>
        <v>0</v>
      </c>
      <c r="H23" s="79" cm="1">
        <f t="array" ref="H23">SUMPRODUCT((DREAMH!$D$2:$D$766="Its T time")*(DREAMH!$B$2:$B$766="F3. Bảng hỏi sàng lọc sức khoẻ tâm thần (QST)")*(DREAMH!$C$2:$C$766&gt;=2)*(DREAMH!$BC$2:$BC$766&lt;4)*(INDEX(DREAMH!$K$2:$K$766,MATCH(DREAMH!$A$2:$A$766,DREAMH!$A$2:$A$766,0))="Người chuyển giới (TG)"))</f>
        <v>0</v>
      </c>
      <c r="I23" s="78" cm="1">
        <f t="array" ref="I23">SUMPRODUCT((DREAMH!$D$2:$D$766="Its T time")*(DREAMH!$B$2:$B$766="F3. Bảng hỏi sàng lọc sức khoẻ tâm thần (QST)")*(DREAMH!$C$2:$C$766&gt;=2)*(DREAMH!$BC$2:$BC$766&lt;4)*(INDEX(DREAMH!$K$2:$K$766,MATCH(DREAMH!$A$2:$A$766,DREAMH!$A$2:$A$766,0))="Người bán dâm (SW)"))</f>
        <v>0</v>
      </c>
      <c r="J23" s="78" cm="1">
        <f t="array" ref="J23">SUMPRODUCT((DREAMH!$D$2:$D$766="Its T time")*(DREAMH!$B$2:$B$766="F3. Bảng hỏi sàng lọc sức khoẻ tâm thần (QST)")*(DREAMH!$C$2:$C$766&gt;=2)*(DREAMH!$BC$2:$BC$766&lt;4)*(INDEX(DREAMH!$K$2:$K$766,MATCH(DREAMH!$A$2:$A$766,DREAMH!$A$2:$A$766,0))="Nam quan hệ tình dục đồng giới (MSM)"))</f>
        <v>0</v>
      </c>
      <c r="K23" s="37" t="s">
        <v>35</v>
      </c>
      <c r="L23" s="37" t="s">
        <v>35</v>
      </c>
      <c r="M23" s="37" t="s">
        <v>35</v>
      </c>
      <c r="N23" s="37" t="s">
        <v>35</v>
      </c>
      <c r="O23" s="42"/>
      <c r="P23" s="31"/>
    </row>
    <row r="24" spans="2:16" s="8" customFormat="1" ht="18" customHeight="1" x14ac:dyDescent="0.3">
      <c r="B24" s="39">
        <v>3</v>
      </c>
      <c r="C24" s="45" t="s">
        <v>59</v>
      </c>
      <c r="D24" s="44"/>
      <c r="E24" s="79" cm="1">
        <f t="array" ref="E24">SUMPRODUCT((DREAMH!$D$2:$D$766="Its T time")*(DREAMH!$B$2:$B$766="F6. Thông tin chẩn đoán và điều trị"))</f>
        <v>2</v>
      </c>
      <c r="F24" s="79" cm="1">
        <f t="array" ref="F24">SUMPRODUCT((DREAMH!$D$2:$D$766="Its T time")*(DREAMH!$B$2:$B$766="F6. Thông tin chẩn đoán và điều trị")*(INDEX(DREAMH!$K$2:$K$766,MATCH(DREAMH!$A$2:$A$766,DREAMH!$A$2:$A$766,0))="Người sử dụng ma túy (PUD)"))</f>
        <v>0</v>
      </c>
      <c r="G24" s="79" cm="1">
        <f t="array" ref="G24">SUMPRODUCT((DREAMH!$D$2:$D$766="Its T time")*(DREAMH!$B$2:$B$766="F6. Thông tin chẩn đoán và điều trị")*(INDEX(DREAMH!$K$2:$K$766,MATCH(DREAMH!$A$2:$A$766,DREAMH!$A$2:$A$766,0))="Người sống chung với HIV (PLHIV)"))</f>
        <v>0</v>
      </c>
      <c r="H24" s="79" cm="1">
        <f t="array" ref="H24">SUMPRODUCT((DREAMH!$D$2:$D$766="Its T time")*(DREAMH!$B$2:$B$766="F6. Thông tin chẩn đoán và điều trị")*(INDEX(DREAMH!$K$2:$K$766,MATCH(DREAMH!$A$2:$A$766,DREAMH!$A$2:$A$766,0))="Người chuyển giới (TG)"))</f>
        <v>2</v>
      </c>
      <c r="I24" s="78" cm="1">
        <f t="array" ref="I24">SUMPRODUCT((DREAMH!$D$2:$D$766="Its T time")*(DREAMH!$B$2:$B$766="F6. Thông tin chẩn đoán và điều trị")*(INDEX(DREAMH!$K$2:$K$766,MATCH(DREAMH!$A$2:$A$766,DREAMH!$A$2:$A$766,0))="Người bán dâm (SW)"))</f>
        <v>0</v>
      </c>
      <c r="J24" s="78" cm="1">
        <f t="array" ref="J24">SUMPRODUCT((DREAMH!$D$2:$D$766="Its T time")*(DREAMH!$B$2:$B$766="F6. Thông tin chẩn đoán và điều trị")*(INDEX(DREAMH!$K$2:$K$766,MATCH(DREAMH!$A$2:$A$766,DREAMH!$A$2:$A$766,0))="Nam quan hệ tình dục đồng giới (MSM)"))</f>
        <v>0</v>
      </c>
      <c r="K24" s="37" t="s">
        <v>35</v>
      </c>
      <c r="L24" s="37" t="s">
        <v>35</v>
      </c>
      <c r="M24" s="37" t="s">
        <v>35</v>
      </c>
      <c r="N24" s="37" t="s">
        <v>35</v>
      </c>
      <c r="O24" s="42"/>
      <c r="P24" s="31" t="s">
        <v>60</v>
      </c>
    </row>
    <row r="25" spans="2:16" s="8" customFormat="1" ht="17.25" customHeight="1" x14ac:dyDescent="0.3">
      <c r="B25" s="39">
        <v>4</v>
      </c>
      <c r="C25" s="45" t="s">
        <v>61</v>
      </c>
      <c r="D25" s="46"/>
      <c r="E25" s="79" cm="1">
        <f t="array" ref="E25">SUMPRODUCT((DREAMH!$D$2:$D$766="Its T time")*(DREAMH!$B$2:$B$766="F6. Thông tin chẩn đoán và điều trị") / (COUNTIFS(DREAMH!$A$2:$A$766, DREAMH!$A$2:$A$766, DREAMH!$B$2:$B$766, "F6. Thông tin chẩn đoán và điều trị") + (COUNTIFS(DREAMH!$A$2:$A$766, DREAMH!$A$2:$A$766, DREAMH!$B$2:$B$766, "F6. Thông tin chẩn đoán và điều trị")=0)))</f>
        <v>2</v>
      </c>
      <c r="F25" s="79" cm="1">
        <f t="array" ref="F25">SUMPRODUCT((DREAMH!$D$2:$D$766="Its T time")*(DREAMH!$B$2:$B$766="F6. Thông tin chẩn đoán và điều trị")*(INDEX(DREAMH!$K$2:$K$766,MATCH(DREAMH!$A$2:$A$766,DREAMH!$A$2:$A$766,0))="Người sử dụng ma túy (PUD)"))</f>
        <v>0</v>
      </c>
      <c r="G25" s="79" cm="1">
        <f t="array" ref="G25">SUMPRODUCT((DREAMH!$D$2:$D$766="Its T time")*(DREAMH!$B$2:$B$766="F6. Thông tin chẩn đoán và điều trị")*(INDEX(DREAMH!$K$2:$K$766,MATCH(DREAMH!$A$2:$A$766,DREAMH!$A$2:$A$766,0))="Người sống chung với HIV (PLHIV)"))</f>
        <v>0</v>
      </c>
      <c r="H25" s="79" cm="1">
        <f t="array" ref="H25">SUMPRODUCT((DREAMH!$D$2:$D$766="Its T time")*(DREAMH!$B$2:$B$766="F6. Thông tin chẩn đoán và điều trị")*(INDEX(DREAMH!$K$2:$K$766,MATCH(DREAMH!$A$2:$A$766,DREAMH!$A$2:$A$766,0))="Người chuyển giới (TG)"))</f>
        <v>2</v>
      </c>
      <c r="I25" s="78" cm="1">
        <f t="array" ref="I25">SUMPRODUCT((DREAMH!$D$2:$D$766="Its T time")*(DREAMH!$B$2:$B$766="F6. Thông tin chẩn đoán và điều trị")*(INDEX(DREAMH!$K$2:$K$766,MATCH(DREAMH!$A$2:$A$766,DREAMH!$A$2:$A$766,0))="Người bán dâm (SW)"))</f>
        <v>0</v>
      </c>
      <c r="J25" s="78" cm="1">
        <f t="array" ref="J25">SUMPRODUCT((DREAMH!$D$2:$D$766="Its T time")*(DREAMH!$B$2:$B$766="F6. Thông tin chẩn đoán và điều trị")*(INDEX(DREAMH!$K$2:$K$766,MATCH(DREAMH!$A$2:$A$766,DREAMH!$A$2:$A$766,0))="Nam quan hệ tình dục đồng giới (MSM)"))</f>
        <v>0</v>
      </c>
      <c r="K25" s="37" t="s">
        <v>35</v>
      </c>
      <c r="L25" s="37" t="s">
        <v>35</v>
      </c>
      <c r="M25" s="37" t="s">
        <v>35</v>
      </c>
      <c r="N25" s="37" t="s">
        <v>35</v>
      </c>
      <c r="O25" s="91" t="s">
        <v>62</v>
      </c>
      <c r="P25" s="31"/>
    </row>
    <row r="26" spans="2:16" s="8" customFormat="1" ht="18" customHeight="1" x14ac:dyDescent="0.3">
      <c r="B26" s="47"/>
      <c r="C26" s="48" t="s">
        <v>63</v>
      </c>
      <c r="D26" s="46"/>
      <c r="E26" s="79" cm="1">
        <f t="array" ref="E26">SUMPRODUCT((DREAMH!$D$2:$D$766="Its T time")*(DREAMH!$B$2:$B$766="F6. Thông tin chẩn đoán và điều trị")*(DREAMH!$DA$2:$DA$766="Khám lần đầu"))</f>
        <v>2</v>
      </c>
      <c r="F26" s="79" cm="1">
        <f t="array" ref="F26">SUMPRODUCT((DREAMH!$D$2:$D$766="Its T time")*(DREAMH!$B$2:$B$766="F6. Thông tin chẩn đoán và điều trị")*(DREAMH!$DA$2:$DA$766="Khám lần đầu")*(INDEX(DREAMH!$K$2:$K$766,MATCH(DREAMH!$A$2:$A$766,DREAMH!$A$2:$A$766,0))="Người sử dụng ma túy (PUD)"))</f>
        <v>0</v>
      </c>
      <c r="G26" s="79" cm="1">
        <f t="array" ref="G26">SUMPRODUCT((DREAMH!$D$2:$D$766="Its T time")*(DREAMH!$B$2:$B$766="F6. Thông tin chẩn đoán và điều trị")*(DREAMH!$DA$2:$DA$766="Khám lần đầu")*(INDEX(DREAMH!$K$2:$K$766,MATCH(DREAMH!$A$2:$A$766,DREAMH!$A$2:$A$766,0))="Người sống chung với HIV (PLHIV)"))</f>
        <v>0</v>
      </c>
      <c r="H26" s="79" cm="1">
        <f t="array" ref="H26">SUMPRODUCT((DREAMH!$D$2:$D$766="Its T time")*(DREAMH!$B$2:$B$766="F6. Thông tin chẩn đoán và điều trị")*(DREAMH!$DA$2:$DA$766="Khám lần đầu")*(INDEX(DREAMH!$K$2:$K$766,MATCH(DREAMH!$A$2:$A$766,DREAMH!$A$2:$A$766,0))="Người chuyển giới (TG)"))</f>
        <v>2</v>
      </c>
      <c r="I26" s="78" cm="1">
        <f t="array" ref="I26">SUMPRODUCT((DREAMH!$D$2:$D$766="Its T time")*(DREAMH!$B$2:$B$766="F6. Thông tin chẩn đoán và điều trị")*(DREAMH!$DA$2:$DA$766="Khám lần đầu")*(INDEX(DREAMH!$K$2:$K$766,MATCH(DREAMH!$A$2:$A$766,DREAMH!$A$2:$A$766,0))="Người bán dâm (SW)"))</f>
        <v>0</v>
      </c>
      <c r="J26" s="78" cm="1">
        <f t="array" ref="J26">SUMPRODUCT((DREAMH!$D$2:$D$766="Its T time")*(DREAMH!$B$2:$B$766="F6. Thông tin chẩn đoán và điều trị")*(DREAMH!$DA$2:$DA$766="Khám lần đầu")*(INDEX(DREAMH!$K$2:$K$766,MATCH(DREAMH!$A$2:$A$766,DREAMH!$A$2:$A$766,0))="Nam quan hệ tình dục đồng giới (MSM)"))</f>
        <v>0</v>
      </c>
      <c r="K26" s="37" t="s">
        <v>35</v>
      </c>
      <c r="L26" s="37" t="s">
        <v>35</v>
      </c>
      <c r="M26" s="37" t="s">
        <v>35</v>
      </c>
      <c r="N26" s="37" t="s">
        <v>35</v>
      </c>
      <c r="O26" s="91"/>
      <c r="P26" s="31"/>
    </row>
    <row r="27" spans="2:16" s="8" customFormat="1" ht="18" customHeight="1" x14ac:dyDescent="0.3">
      <c r="B27" s="47"/>
      <c r="C27" s="48" t="s">
        <v>64</v>
      </c>
      <c r="D27" s="46"/>
      <c r="E27" s="79" cm="1">
        <f t="array" ref="E27">SUMPRODUCT((DREAMH!$D$2:$D$766="Its T time")*(DREAMH!$B$2:$B$766="F6. Thông tin chẩn đoán và điều trị")*(DREAMH!$DA$2:$DA$766="Tái khám"))</f>
        <v>0</v>
      </c>
      <c r="F27" s="79" cm="1">
        <f t="array" ref="F27">SUMPRODUCT((DREAMH!$D$2:$D$766="Its T time")*(DREAMH!$B$2:$B$766="F6. Thông tin chẩn đoán và điều trị")*(DREAMH!$DA$2:$DA$766="Tái khám")*(INDEX(DREAMH!$K$2:$K$766,MATCH(DREAMH!$A$2:$A$766,DREAMH!$A$2:$A$766,0))="Người sử dụng ma túy (PUD)"))</f>
        <v>0</v>
      </c>
      <c r="G27" s="79" cm="1">
        <f t="array" ref="G27">SUMPRODUCT((DREAMH!$D$2:$D$766="Its T time")*(DREAMH!$B$2:$B$766="F6. Thông tin chẩn đoán và điều trị")*(DREAMH!$DA$2:$DA$766="Tái khám")*(INDEX(DREAMH!$K$2:$K$766,MATCH(DREAMH!$A$2:$A$766,DREAMH!$A$2:$A$766,0))="Người sống chung với HIV (PLHIV)"))</f>
        <v>0</v>
      </c>
      <c r="H27" s="79" cm="1">
        <f t="array" ref="H27">SUMPRODUCT((DREAMH!$D$2:$D$766="Its T time")*(DREAMH!$B$2:$B$766="F6. Thông tin chẩn đoán và điều trị")*(DREAMH!$DA$2:$DA$766="Tái khám")*(INDEX(DREAMH!$K$2:$K$766,MATCH(DREAMH!$A$2:$A$766,DREAMH!$A$2:$A$766,0))="Người chuyển giới (TG)"))</f>
        <v>0</v>
      </c>
      <c r="I27" s="78" cm="1">
        <f t="array" ref="I27">SUMPRODUCT((DREAMH!$D$2:$D$766="Its T time")*(DREAMH!$B$2:$B$766="F6. Thông tin chẩn đoán và điều trị")*(DREAMH!$DA$2:$DA$766="Tái khám")*(INDEX(DREAMH!$K$2:$K$766,MATCH(DREAMH!$A$2:$A$766,DREAMH!$A$2:$A$766,0))="Người bán dâm (SW)"))</f>
        <v>0</v>
      </c>
      <c r="J27" s="78" cm="1">
        <f t="array" ref="J27">SUMPRODUCT((DREAMH!$D$2:$D$766="Its T time")*(DREAMH!$B$2:$B$766="F6. Thông tin chẩn đoán và điều trị")*(DREAMH!$DA$2:$DA$766="Tái khám")*(INDEX(DREAMH!$K$2:$K$766,MATCH(DREAMH!$A$2:$A$766,DREAMH!$A$2:$A$766,0))="Nam quan hệ tình dục đồng giới (MSM)"))</f>
        <v>0</v>
      </c>
      <c r="K27" s="37" t="s">
        <v>35</v>
      </c>
      <c r="L27" s="37" t="s">
        <v>35</v>
      </c>
      <c r="M27" s="37" t="s">
        <v>35</v>
      </c>
      <c r="N27" s="37" t="s">
        <v>35</v>
      </c>
      <c r="O27" s="91"/>
      <c r="P27" s="31"/>
    </row>
    <row r="28" spans="2:16" s="8" customFormat="1" ht="18" customHeight="1" x14ac:dyDescent="0.3">
      <c r="B28" s="47"/>
      <c r="C28" s="48" t="s">
        <v>65</v>
      </c>
      <c r="D28" s="46"/>
      <c r="E28" s="79" cm="1">
        <f t="array" ref="E28">SUMPRODUCT((DREAMH!$D$2:$D$766="Its T time")*(DREAMH!$B$2:$B$766="F6. Thông tin chẩn đoán và điều trị")*(DREAMH!$DA$2:$DA$766="Tái khám"))</f>
        <v>0</v>
      </c>
      <c r="F28" s="79" cm="1">
        <f t="array" ref="F28">SUMPRODUCT((DREAMH!$D$2:$D$766="Its T time")*(DREAMH!$B$2:$B$766="F6. Thông tin chẩn đoán và điều trị")*(DREAMH!$DA$2:$DA$766="Tái khám")*(INDEX(DREAMH!$K$2:$K$766,MATCH(DREAMH!$A$2:$A$766,DREAMH!$A$2:$A$766,0))="Người sử dụng ma túy (PUD)"))</f>
        <v>0</v>
      </c>
      <c r="G28" s="79" cm="1">
        <f t="array" ref="G28">SUMPRODUCT((DREAMH!$D$2:$D$766="Its T time")*(DREAMH!$B$2:$B$766="F6. Thông tin chẩn đoán và điều trị")*(DREAMH!$DA$2:$DA$766="Tái khám")*(INDEX(DREAMH!$K$2:$K$766,MATCH(DREAMH!$A$2:$A$766,DREAMH!$A$2:$A$766,0))="Người sống chung với HIV (PLHIV)"))</f>
        <v>0</v>
      </c>
      <c r="H28" s="79" cm="1">
        <f t="array" ref="H28">SUMPRODUCT((DREAMH!$D$2:$D$766="Its T time")*(DREAMH!$B$2:$B$766="F6. Thông tin chẩn đoán và điều trị")*(DREAMH!$DA$2:$DA$766="Tái khám")*(INDEX(DREAMH!$K$2:$K$766,MATCH(DREAMH!$A$2:$A$766,DREAMH!$A$2:$A$766,0))="Người chuyển giới (TG)"))</f>
        <v>0</v>
      </c>
      <c r="I28" s="78" cm="1">
        <f t="array" ref="I28">SUMPRODUCT((DREAMH!$D$2:$D$766="Its T time")*(DREAMH!$B$2:$B$766="F6. Thông tin chẩn đoán và điều trị")*(DREAMH!$DA$2:$DA$766="Tái khám")*(INDEX(DREAMH!$K$2:$K$766,MATCH(DREAMH!$A$2:$A$766,DREAMH!$A$2:$A$766,0))="Người bán dâm (SW)"))</f>
        <v>0</v>
      </c>
      <c r="J28" s="78" cm="1">
        <f t="array" ref="J28">SUMPRODUCT((DREAMH!$D$2:$D$766="Its T time")*(DREAMH!$B$2:$B$766="F6. Thông tin chẩn đoán và điều trị")*(DREAMH!$DA$2:$DA$766="Tái khám")*(INDEX(DREAMH!$K$2:$K$766,MATCH(DREAMH!$A$2:$A$766,DREAMH!$A$2:$A$766,0))="Nam quan hệ tình dục đồng giới (MSM)"))</f>
        <v>0</v>
      </c>
      <c r="K28" s="37" t="s">
        <v>35</v>
      </c>
      <c r="L28" s="37" t="s">
        <v>35</v>
      </c>
      <c r="M28" s="37" t="s">
        <v>35</v>
      </c>
      <c r="N28" s="37" t="s">
        <v>35</v>
      </c>
      <c r="O28" s="91"/>
      <c r="P28" s="31"/>
    </row>
    <row r="29" spans="2:16" s="8" customFormat="1" ht="18" customHeight="1" x14ac:dyDescent="0.3">
      <c r="B29" s="39">
        <v>5</v>
      </c>
      <c r="C29" s="45" t="s">
        <v>66</v>
      </c>
      <c r="D29" s="46"/>
      <c r="E29" s="79" cm="1">
        <f t="array" ref="E29">SUMPRODUCT((DREAMH!$D$2:$D$766="Its T time")*(DREAMH!$B$2:$B$766="F6. Thông tin chẩn đoán và điều trị")*(DREAMH!$DL$2:$DL$766="Chọn"))</f>
        <v>0</v>
      </c>
      <c r="F29" s="79" cm="1">
        <f t="array" ref="F29">SUMPRODUCT((DREAMH!$D$2:$D$766="Its T time")*(DREAMH!$B$2:$B$766="F6. Thông tin chẩn đoán và điều trị")*(DREAMH!$DL$2:$DL$766="Chọn")*(INDEX(DREAMH!$K$2:$K$766,MATCH(DREAMH!$A$2:$A$766,DREAMH!$A$2:$A$766,0))="Người sử dụng ma túy (PUD)"))</f>
        <v>0</v>
      </c>
      <c r="G29" s="79" cm="1">
        <f t="array" ref="G29">SUMPRODUCT((DREAMH!$D$2:$D$766="Its T time")*(DREAMH!$B$2:$B$766="F6. Thông tin chẩn đoán và điều trị")*(DREAMH!$DL$2:$DL$766="Chọn")*(INDEX(DREAMH!$K$2:$K$766,MATCH(DREAMH!$A$2:$A$766,DREAMH!$A$2:$A$766,0))="Người sống chung với HIV (PLHIV)"))</f>
        <v>0</v>
      </c>
      <c r="H29" s="79" cm="1">
        <f t="array" ref="H29">SUMPRODUCT((DREAMH!$D$2:$D$766="Its T time")*(DREAMH!$B$2:$B$766="F6. Thông tin chẩn đoán và điều trị")*(DREAMH!$DL$2:$DL$766="Chọn")*(INDEX(DREAMH!$K$2:$K$766,MATCH(DREAMH!$A$2:$A$766,DREAMH!$A$2:$A$766,0))="Người chuyển giới (TG)"))</f>
        <v>0</v>
      </c>
      <c r="I29" s="78" cm="1">
        <f t="array" ref="I29">SUMPRODUCT((DREAMH!$D$2:$D$766="Its T time")*(DREAMH!$B$2:$B$766="F6. Thông tin chẩn đoán và điều trị")*(DREAMH!$DL$2:$DL$766="Chọn")*(INDEX(DREAMH!$K$2:$K$766,MATCH(DREAMH!$A$2:$A$766,DREAMH!$A$2:$A$766,0))="Người bán dâm (SW)"))</f>
        <v>0</v>
      </c>
      <c r="J29" s="78" cm="1">
        <f t="array" ref="J29">SUMPRODUCT((DREAMH!$D$2:$D$766="Its T time")*(DREAMH!$B$2:$B$766="F6. Thông tin chẩn đoán và điều trị")*(DREAMH!$DL$2:$DL$766="Chọn")*(INDEX(DREAMH!$K$2:$K$766,MATCH(DREAMH!$A$2:$A$766,DREAMH!$A$2:$A$766,0))="Nam quan hệ tình dục đồng giới (MSM)"))</f>
        <v>0</v>
      </c>
      <c r="K29" s="37" t="s">
        <v>35</v>
      </c>
      <c r="L29" s="37" t="s">
        <v>35</v>
      </c>
      <c r="M29" s="37" t="s">
        <v>35</v>
      </c>
      <c r="N29" s="37" t="s">
        <v>35</v>
      </c>
      <c r="O29" s="91"/>
      <c r="P29" s="31"/>
    </row>
    <row r="30" spans="2:16" s="8" customFormat="1" ht="33" customHeight="1" x14ac:dyDescent="0.3">
      <c r="B30" s="39">
        <v>6</v>
      </c>
      <c r="C30" s="45" t="s">
        <v>67</v>
      </c>
      <c r="D30" s="46"/>
      <c r="E30" s="79" cm="1">
        <f t="array" ref="E30">SUMPRODUCT((DREAMH!$D$2:$D$766="Its T time")*(DREAMH!$B$2:$B$766="F5. Phiếu hỗ trợ tuân thủ điều trị")*(DREAMH!$BG$2:$BG$766="Chọn"))</f>
        <v>0</v>
      </c>
      <c r="F30" s="79" cm="1">
        <f t="array" ref="F30">SUMPRODUCT((DREAMH!$D$2:$D$766="Its T time")*(DREAMH!$B$2:$B$766="F5. Phiếu hỗ trợ tuân thủ điều trị")*(DREAMH!$BG$2:$BG$766="Chọn")*(INDEX(DREAMH!$K$2:$K$766,MATCH(DREAMH!$A$2:$A$766,DREAMH!$A$2:$A$766,0))="Người sử dụng ma túy (PUD)"))</f>
        <v>0</v>
      </c>
      <c r="G30" s="79" cm="1">
        <f t="array" ref="G30">SUMPRODUCT((DREAMH!$D$2:$D$766="Its T time")*(DREAMH!$B$2:$B$766="F5. Phiếu hỗ trợ tuân thủ điều trị")*(DREAMH!$BG$2:$BG$766="Chọn")*(INDEX(DREAMH!$K$2:$K$766,MATCH(DREAMH!$A$2:$A$766,DREAMH!$A$2:$A$766,0))="Người sống chung với HIV (PLHIV)"))</f>
        <v>0</v>
      </c>
      <c r="H30" s="79" cm="1">
        <f t="array" ref="H30">SUMPRODUCT((DREAMH!$D$2:$D$766="Its T time")*(DREAMH!$B$2:$B$766="F5. Phiếu hỗ trợ tuân thủ điều trị")*(DREAMH!$BG$2:$BG$766="Chọn")*(INDEX(DREAMH!$K$2:$K$766,MATCH(DREAMH!$A$2:$A$766,DREAMH!$A$2:$A$766,0))="Người chuyển giới (TG)"))</f>
        <v>0</v>
      </c>
      <c r="I30" s="78" cm="1">
        <f t="array" ref="I30">SUMPRODUCT((DREAMH!$D$2:$D$766="Its T time")*(DREAMH!$B$2:$B$766="F5. Phiếu hỗ trợ tuân thủ điều trị")*(DREAMH!$BG$2:$BG$766="Chọn")*(INDEX(DREAMH!$K$2:$K$766,MATCH(DREAMH!$A$2:$A$766,DREAMH!$A$2:$A$766,0))="Người bán dâm (SW)"))</f>
        <v>0</v>
      </c>
      <c r="J30" s="78" cm="1">
        <f t="array" ref="J30">SUMPRODUCT((DREAMH!$D$2:$D$766="Its T time")*(DREAMH!$B$2:$B$766="F5. Phiếu hỗ trợ tuân thủ điều trị")*(DREAMH!$BG$2:$BG$766="Chọn")*(INDEX(DREAMH!$K$2:$K$766,MATCH(DREAMH!$A$2:$A$766,DREAMH!$A$2:$A$766,0))="Nam quan hệ tình dục đồng giới (MSM)"))</f>
        <v>0</v>
      </c>
      <c r="K30" s="37" t="s">
        <v>35</v>
      </c>
      <c r="L30" s="37" t="s">
        <v>35</v>
      </c>
      <c r="M30" s="37" t="s">
        <v>35</v>
      </c>
      <c r="N30" s="37" t="s">
        <v>35</v>
      </c>
      <c r="O30" s="49" t="s">
        <v>68</v>
      </c>
      <c r="P30" s="31"/>
    </row>
    <row r="31" spans="2:16" s="50" customFormat="1" ht="16.5" customHeight="1" x14ac:dyDescent="0.3">
      <c r="B31" s="51" t="s">
        <v>69</v>
      </c>
      <c r="C31" s="52" t="s">
        <v>70</v>
      </c>
      <c r="D31" s="53"/>
      <c r="E31" s="79"/>
      <c r="F31" s="79"/>
      <c r="G31" s="79"/>
      <c r="H31" s="79"/>
      <c r="I31" s="78"/>
      <c r="J31" s="78"/>
      <c r="K31" s="54"/>
      <c r="L31" s="54"/>
      <c r="M31" s="54"/>
      <c r="N31" s="54"/>
      <c r="O31" s="91" t="s">
        <v>71</v>
      </c>
      <c r="P31" s="31"/>
    </row>
    <row r="32" spans="2:16" s="50" customFormat="1" ht="16.5" customHeight="1" x14ac:dyDescent="0.3">
      <c r="B32" s="55">
        <v>1</v>
      </c>
      <c r="C32" s="56" t="s">
        <v>72</v>
      </c>
      <c r="D32" s="2"/>
      <c r="E32" s="74" cm="1">
        <f t="array" ref="E32">SUMPRODUCT((DREAMH!$D$2:$D$766="Its T time")*((DREAMH!$B$2:$B$766="F7. Phiếu tư vấn lần 1")+(DREAMH!$B$2:$B$766="F8. Phiếu tư vấn (từ lần 2)")))</f>
        <v>0</v>
      </c>
      <c r="F32" s="74" cm="1">
        <f t="array" ref="F32">SUMPRODUCT((DREAMH!$D$2:$D$766="Its T time")*((DREAMH!$B$2:$B$766="F7. Phiếu tư vấn lần 1")+(DREAMH!$B$2:$B$766="F8. Phiếu tư vấn (từ lần 2)"))*(INDEX(DREAMH!$K$2:$K$766,MATCH(DREAMH!$A$2:$A$766,DREAMH!$A$2:$A$766,0))="Người sử dụng ma túy (PUD)"))</f>
        <v>0</v>
      </c>
      <c r="G32" s="74" cm="1">
        <f t="array" ref="G32">SUMPRODUCT((DREAMH!$D$2:$D$766="Its T time")*((DREAMH!$B$2:$B$766="F7. Phiếu tư vấn lần 1")+(DREAMH!$B$2:$B$766="F8. Phiếu tư vấn (từ lần 2)"))*(INDEX(DREAMH!$K$2:$K$766,MATCH(DREAMH!$A$2:$A$766,DREAMH!$A$2:$A$766,0))="Người sống chung với HIV (PLHIV)"))</f>
        <v>0</v>
      </c>
      <c r="H32" s="74" cm="1">
        <f t="array" ref="H32">SUMPRODUCT((DREAMH!$D$2:$D$766="Its T time")*((DREAMH!$B$2:$B$766="F7. Phiếu tư vấn lần 1")+(DREAMH!$B$2:$B$766="F8. Phiếu tư vấn (từ lần 2)"))*(INDEX(DREAMH!$K$2:$K$766,MATCH(DREAMH!$A$2:$A$766,DREAMH!$A$2:$A$766,0))="Người chuyển giới (TG)"))</f>
        <v>0</v>
      </c>
      <c r="I32" s="78" cm="1">
        <f t="array" ref="I32">SUMPRODUCT((DREAMH!$D$2:$D$766="Its T time")*((DREAMH!$B$2:$B$766="F7. Phiếu tư vấn lần 1")+(DREAMH!$B$2:$B$766="F8. Phiếu tư vấn (từ lần 2)"))*(INDEX(DREAMH!$K$2:$K$766,MATCH(DREAMH!$A$2:$A$766,DREAMH!$A$2:$A$766,0))="Người bán dâm (SW)"))</f>
        <v>0</v>
      </c>
      <c r="J32" s="78" cm="1">
        <f t="array" ref="J32">SUMPRODUCT((DREAMH!$D$2:$D$766="Its T time")*((DREAMH!$B$2:$B$766="F7. Phiếu tư vấn lần 1")+(DREAMH!$B$2:$B$766="F8. Phiếu tư vấn (từ lần 2)"))*(INDEX(DREAMH!$K$2:$K$766,MATCH(DREAMH!$A$2:$A$766,DREAMH!$A$2:$A$766,0))="Nam quan hệ tình dục đồng giới (MSM)"))</f>
        <v>0</v>
      </c>
      <c r="K32" s="37" t="s">
        <v>35</v>
      </c>
      <c r="L32" s="37" t="s">
        <v>35</v>
      </c>
      <c r="M32" s="37" t="s">
        <v>35</v>
      </c>
      <c r="N32" s="37" t="s">
        <v>35</v>
      </c>
      <c r="O32" s="91"/>
      <c r="P32" s="31"/>
    </row>
    <row r="33" spans="2:16" ht="18" customHeight="1" x14ac:dyDescent="0.3">
      <c r="B33" s="57">
        <v>2</v>
      </c>
      <c r="C33" s="92" t="s">
        <v>73</v>
      </c>
      <c r="D33" s="92"/>
      <c r="E33" s="80" cm="1">
        <f t="array" ref="E33">SUMPRODUCT((DREAMH!$D$2:$D$766="Its T time")*(DREAMH!$B$2:$B$766="F7. Phiếu tư vấn lần 1"))</f>
        <v>0</v>
      </c>
      <c r="F33" s="80" cm="1">
        <f t="array" ref="F33">SUMPRODUCT((DREAMH!$D$2:$D$766="Its T time")*(DREAMH!$B$2:$B$766="F7. Phiếu tư vấn lần 1")*(INDEX(DREAMH!$K$2:$K$766,MATCH(DREAMH!$A$2:$A$766,DREAMH!$A$2:$A$766,0))="Người sử dụng ma túy (PUD)"))</f>
        <v>0</v>
      </c>
      <c r="G33" s="80" cm="1">
        <f t="array" ref="G33">SUMPRODUCT((DREAMH!$D$2:$D$766="Its T time")*(DREAMH!$B$2:$B$766="F7. Phiếu tư vấn lần 1")*(INDEX(DREAMH!$K$2:$K$766,MATCH(DREAMH!$A$2:$A$766,DREAMH!$A$2:$A$766,0))="Người sống chung với HIV (PLHIV)"))</f>
        <v>0</v>
      </c>
      <c r="H33" s="80" cm="1">
        <f t="array" ref="H33">SUMPRODUCT((DREAMH!$D$2:$D$766="Its T time")*(DREAMH!$B$2:$B$766="F7. Phiếu tư vấn lần 1")*(INDEX(DREAMH!$K$2:$K$766,MATCH(DREAMH!$A$2:$A$766,DREAMH!$A$2:$A$766,0))="Người chuyển giới (TG)"))</f>
        <v>0</v>
      </c>
      <c r="I33" s="78" cm="1">
        <f t="array" ref="I33">SUMPRODUCT((DREAMH!$D$2:$D$766="Its T time")*(DREAMH!$B$2:$B$766="F7. Phiếu tư vấn lần 1")*(INDEX(DREAMH!$K$2:$K$766,MATCH(DREAMH!$A$2:$A$766,DREAMH!$A$2:$A$766,0))="Người bán dâm (SW)"))</f>
        <v>0</v>
      </c>
      <c r="J33" s="78" cm="1">
        <f t="array" ref="J33">SUMPRODUCT((DREAMH!$D$2:$D$766="Its T time")*(DREAMH!$B$2:$B$766="F7. Phiếu tư vấn lần 1")*(INDEX(DREAMH!$K$2:$K$766,MATCH(DREAMH!$A$2:$A$766,DREAMH!$A$2:$A$766,0))="Nam quan hệ tình dục đồng giới (MSM)"))</f>
        <v>0</v>
      </c>
      <c r="K33" s="37" t="s">
        <v>35</v>
      </c>
      <c r="L33" s="37" t="s">
        <v>35</v>
      </c>
      <c r="M33" s="37" t="s">
        <v>35</v>
      </c>
      <c r="N33" s="37" t="s">
        <v>35</v>
      </c>
      <c r="O33" s="91"/>
      <c r="P33" s="31"/>
    </row>
    <row r="34" spans="2:16" ht="18" customHeight="1" x14ac:dyDescent="0.3">
      <c r="B34" s="20"/>
      <c r="C34" s="58" t="s">
        <v>74</v>
      </c>
      <c r="D34" s="59"/>
      <c r="E34" s="81" cm="1">
        <f t="array" ref="E34">SUMPRODUCT((DREAMH!$D$2:$D$766="Its T time")*(DREAMH!$B$2:$B$766="F7. Phiếu tư vấn lần 1")*(COUNTIFS(DREAMH!$A$2:$A$766, DREAMH!$A$2:$A$766, DREAMH!$B$2:$B$766, "F8. Phiếu tư vấn (từ lần 2)")=0))</f>
        <v>0</v>
      </c>
      <c r="F34" s="81" cm="1">
        <f t="array" ref="F34">SUMPRODUCT((DREAMH!$D$2:$D$766="Its T time")*(DREAMH!$B$2:$B$766="F7. Phiếu tư vấn lần 1")*(COUNTIFS(DREAMH!$A$2:$A$766, DREAMH!$A$2:$A$766, DREAMH!$B$2:$B$766, "F8. Phiếu tư vấn (từ lần 2)")=0)*(INDEX(DREAMH!$K$2:$K$766,MATCH(DREAMH!$A$2:$A$766,DREAMH!$A$2:$A$766,0))="Người sử dụng ma túy (PUD)"))</f>
        <v>0</v>
      </c>
      <c r="G34" s="81" cm="1">
        <f t="array" ref="G34">SUMPRODUCT((DREAMH!$D$2:$D$766="Its T time")*(DREAMH!$B$2:$B$766="F7. Phiếu tư vấn lần 1")*(COUNTIFS(DREAMH!$A$2:$A$766, DREAMH!$A$2:$A$766, DREAMH!$B$2:$B$766, "F8. Phiếu tư vấn (từ lần 2)")=0)*(INDEX(DREAMH!$K$2:$K$766,MATCH(DREAMH!$A$2:$A$766,DREAMH!$A$2:$A$766,0))="Người sống chung với HIV (PLHIV)"))</f>
        <v>0</v>
      </c>
      <c r="H34" s="81" cm="1">
        <f t="array" ref="H34">SUMPRODUCT((DREAMH!$D$2:$D$766="Its T time")*(DREAMH!$B$2:$B$766="F7. Phiếu tư vấn lần 1")*(COUNTIFS(DREAMH!$A$2:$A$766, DREAMH!$A$2:$A$766, DREAMH!$B$2:$B$766, "F8. Phiếu tư vấn (từ lần 2)")=0)*(INDEX(DREAMH!$K$2:$K$766,MATCH(DREAMH!$A$2:$A$766,DREAMH!$A$2:$A$766,0))="Người chuyển giới (TG)"))</f>
        <v>0</v>
      </c>
      <c r="I34" s="78" cm="1">
        <f t="array" ref="I34">SUMPRODUCT((DREAMH!$D$2:$D$766="Its T time")*(DREAMH!$B$2:$B$766="F7. Phiếu tư vấn lần 1")*(COUNTIFS(DREAMH!$A$2:$A$766, DREAMH!$A$2:$A$766, DREAMH!$B$2:$B$766, "F8. Phiếu tư vấn (từ lần 2)")=0)*(INDEX(DREAMH!$K$2:$K$766,MATCH(DREAMH!$A$2:$A$766,DREAMH!$A$2:$A$766,0))="Người bán dâm (SW)"))</f>
        <v>0</v>
      </c>
      <c r="J34" s="78" cm="1">
        <f t="array" ref="J34">SUMPRODUCT((DREAMH!$D$2:$D$766="Its T time")*(DREAMH!$B$2:$B$766="F7. Phiếu tư vấn lần 1")*(COUNTIFS(DREAMH!$A$2:$A$766, DREAMH!$A$2:$A$766, DREAMH!$B$2:$B$766, "F8. Phiếu tư vấn (từ lần 2)")=0)*(INDEX(DREAMH!$K$2:$K$766,MATCH(DREAMH!$A$2:$A$766,DREAMH!$A$2:$A$766,0))="Nam quan hệ tình dục đồng giới (MSM)"))</f>
        <v>0</v>
      </c>
      <c r="K34" s="37"/>
      <c r="L34" s="37" t="s">
        <v>35</v>
      </c>
      <c r="M34" s="37" t="s">
        <v>35</v>
      </c>
      <c r="N34" s="37" t="s">
        <v>35</v>
      </c>
      <c r="O34" s="91"/>
      <c r="P34" s="31"/>
    </row>
    <row r="35" spans="2:16" ht="18" customHeight="1" x14ac:dyDescent="0.3">
      <c r="B35" s="20"/>
      <c r="C35" s="60" t="s">
        <v>75</v>
      </c>
      <c r="D35" s="56"/>
      <c r="E35" s="81" cm="1">
        <f t="array" ref="E35">SUMPRODUCT((DREAMH!$D$2:$D$766="Its T time")*(DREAMH!$B$2:$B$766="F8. Phiếu tư vấn (từ lần 2)")*(COUNTIFS(DREAMH!$A$2:$A$766, DREAMH!$A$2:$A$766, DREAMH!$B$2:$B$766, "F8. Phiếu tư vấn (từ lần 2)")=1))</f>
        <v>0</v>
      </c>
      <c r="F35" s="81" cm="1">
        <f t="array" ref="F35">SUMPRODUCT((DREAMH!$D$2:$D$766="Its T time")*(DREAMH!$B$2:$B$766="F8. Phiếu tư vấn (từ lần 2)")*(COUNTIFS(DREAMH!$A$2:$A$766, DREAMH!$A$2:$A$766, DREAMH!$B$2:$B$766, "F8. Phiếu tư vấn (từ lần 2)")=1)*(INDEX(DREAMH!$K$2:$K$766,MATCH(DREAMH!$A$2:$A$766,DREAMH!$A$2:$A$766,0))="Người sử dụng ma túy (PUD)"))</f>
        <v>0</v>
      </c>
      <c r="G35" s="81" cm="1">
        <f t="array" ref="G35">SUMPRODUCT((DREAMH!$D$2:$D$766="Its T time")*(DREAMH!$B$2:$B$766="F8. Phiếu tư vấn (từ lần 2)")*(COUNTIFS(DREAMH!$A$2:$A$766, DREAMH!$A$2:$A$766, DREAMH!$B$2:$B$766, "F8. Phiếu tư vấn (từ lần 2)")=1)*(INDEX(DREAMH!$K$2:$K$766,MATCH(DREAMH!$A$2:$A$766,DREAMH!$A$2:$A$766,0))="Người sống chung với HIV (PLHIV)"))</f>
        <v>0</v>
      </c>
      <c r="H35" s="81" cm="1">
        <f t="array" ref="H35">SUMPRODUCT((DREAMH!$D$2:$D$766="Its T time")*(DREAMH!$B$2:$B$766="F8. Phiếu tư vấn (từ lần 2)")*(COUNTIFS(DREAMH!$A$2:$A$766, DREAMH!$A$2:$A$766, DREAMH!$B$2:$B$766, "F8. Phiếu tư vấn (từ lần 2)")=1)*(INDEX(DREAMH!$K$2:$K$766,MATCH(DREAMH!$A$2:$A$766,DREAMH!$A$2:$A$766,0))="Người chuyển giới (TG)"))</f>
        <v>0</v>
      </c>
      <c r="I35" s="78" cm="1">
        <f t="array" ref="I35">SUMPRODUCT((DREAMH!$D$2:$D$766="Its T time")*(DREAMH!$B$2:$B$766="F8. Phiếu tư vấn (từ lần 2)")*(COUNTIFS(DREAMH!$A$2:$A$766, DREAMH!$A$2:$A$766, DREAMH!$B$2:$B$766, "F8. Phiếu tư vấn (từ lần 2)")=1)*(INDEX(DREAMH!$K$2:$K$766,MATCH(DREAMH!$A$2:$A$766,DREAMH!$A$2:$A$766,0))="Người bán dâm (SW)"))</f>
        <v>0</v>
      </c>
      <c r="J35" s="78" cm="1">
        <f t="array" ref="J35">SUMPRODUCT((DREAMH!$D$2:$D$766="Its T time")*(DREAMH!$B$2:$B$766="F8. Phiếu tư vấn (từ lần 2)")*(COUNTIFS(DREAMH!$A$2:$A$766, DREAMH!$A$2:$A$766, DREAMH!$B$2:$B$766, "F8. Phiếu tư vấn (từ lần 2)")=1)*(INDEX(DREAMH!$K$2:$K$766,MATCH(DREAMH!$A$2:$A$766,DREAMH!$A$2:$A$766,0))="Nam quan hệ tình dục đồng giới (MSM)"))</f>
        <v>0</v>
      </c>
      <c r="K35" s="37"/>
      <c r="L35" s="37" t="s">
        <v>35</v>
      </c>
      <c r="M35" s="37" t="s">
        <v>35</v>
      </c>
      <c r="N35" s="37" t="s">
        <v>35</v>
      </c>
      <c r="O35" s="91"/>
      <c r="P35" s="31"/>
    </row>
    <row r="36" spans="2:16" ht="18" customHeight="1" x14ac:dyDescent="0.3">
      <c r="B36" s="39"/>
      <c r="C36" s="61" t="s">
        <v>76</v>
      </c>
      <c r="D36" s="56"/>
      <c r="E36" s="81" cm="1">
        <f t="array" ref="E36">SUMPRODUCT((DREAMH!$D$2:$D$766="Its T time")*(DREAMH!$B$2:$B$766="F8. Phiếu tư vấn (từ lần 2)")*(COUNTIFS(DREAMH!$A$2:$A$766, DREAMH!$A$2:$A$766, DREAMH!$B$2:$B$766, "F8. Phiếu tư vấn (từ lần 2)")&gt;=2) / (COUNTIFS(DREAMH!$A$2:$A$766, DREAMH!$A$2:$A$766, DREAMH!$B$2:$B$766, "F8. Phiếu tư vấn (từ lần 2)") + (COUNTIFS(DREAMH!$A$2:$A$766, DREAMH!$A$2:$A$766, DREAMH!$B$2:$B$766, "F8. Phiếu tư vấn (từ lần 2)")=0)))</f>
        <v>0</v>
      </c>
      <c r="F36" s="81" cm="1">
        <f t="array" ref="F36">SUMPRODUCT((DREAMH!$D$2:$D$766="Its T time")*(DREAMH!$B$2:$B$766="F8. Phiếu tư vấn (từ lần 2)")*(COUNTIFS(DREAMH!$A$2:$A$766, DREAMH!$A$2:$A$766, DREAMH!$B$2:$B$766, "F8. Phiếu tư vấn (từ lần 2)")&gt;=2)*(INDEX(DREAMH!$K$2:$K$766,MATCH(DREAMH!$A$2:$A$766,DREAMH!$A$2:$A$766,0))="Người sử dụng ma túy (PUD)") / (COUNTIFS(DREAMH!$A$2:$A$766, DREAMH!$A$2:$A$766, DREAMH!$B$2:$B$766, "F8. Phiếu tư vấn (từ lần 2)") + (COUNTIFS(DREAMH!$A$2:$A$766, DREAMH!$A$2:$A$766, DREAMH!$B$2:$B$766, "F8. Phiếu tư vấn (từ lần 2)")=0)))</f>
        <v>0</v>
      </c>
      <c r="G36" s="81" cm="1">
        <f t="array" ref="G36">SUMPRODUCT((DREAMH!$D$2:$D$766="Its T time")*(DREAMH!$B$2:$B$766="F8. Phiếu tư vấn (từ lần 2)")*(COUNTIFS(DREAMH!$A$2:$A$766, DREAMH!$A$2:$A$766, DREAMH!$B$2:$B$766, "F8. Phiếu tư vấn (từ lần 2)")&gt;=2)*(INDEX(DREAMH!$K$2:$K$766,MATCH(DREAMH!$A$2:$A$766,DREAMH!$A$2:$A$766,0))="Người sống chung với HIV (PLHIV)") / (COUNTIFS(DREAMH!$A$2:$A$766, DREAMH!$A$2:$A$766, DREAMH!$B$2:$B$766, "F8. Phiếu tư vấn (từ lần 2)") + (COUNTIFS(DREAMH!$A$2:$A$766, DREAMH!$A$2:$A$766, DREAMH!$B$2:$B$766, "F8. Phiếu tư vấn (từ lần 2)")=0)))</f>
        <v>0</v>
      </c>
      <c r="H36" s="81" cm="1">
        <f t="array" ref="H36">SUMPRODUCT((DREAMH!$D$2:$D$766="Its T time")*(DREAMH!$B$2:$B$766="F8. Phiếu tư vấn (từ lần 2)")*(COUNTIFS(DREAMH!$A$2:$A$766, DREAMH!$A$2:$A$766, DREAMH!$B$2:$B$766, "F8. Phiếu tư vấn (từ lần 2)")&gt;=2)*(INDEX(DREAMH!$K$2:$K$766,MATCH(DREAMH!$A$2:$A$766,DREAMH!$A$2:$A$766,0))="Người chuyển giới (TG)") / (COUNTIFS(DREAMH!$A$2:$A$766, DREAMH!$A$2:$A$766, DREAMH!$B$2:$B$766, "F8. Phiếu tư vấn (từ lần 2)") + (COUNTIFS(DREAMH!$A$2:$A$766, DREAMH!$A$2:$A$766, DREAMH!$B$2:$B$766, "F8. Phiếu tư vấn (từ lần 2)")=0)))</f>
        <v>0</v>
      </c>
      <c r="I36" s="78" cm="1">
        <f t="array" ref="I36">SUMPRODUCT((DREAMH!$D$2:$D$766="Its T time")*(DREAMH!$B$2:$B$766="F8. Phiếu tư vấn (từ lần 2)")*(COUNTIFS(DREAMH!$A$2:$A$766, DREAMH!$A$2:$A$766, DREAMH!$B$2:$B$766, "F8. Phiếu tư vấn (từ lần 2)")&gt;=2)*(INDEX(DREAMH!$K$2:$K$766,MATCH(DREAMH!$A$2:$A$766,DREAMH!$A$2:$A$766,0))="Người bán dâm (SW)") / (COUNTIFS(DREAMH!$A$2:$A$766, DREAMH!$A$2:$A$766, DREAMH!$B$2:$B$766, "F8. Phiếu tư vấn (từ lần 2)") + (COUNTIFS(DREAMH!$A$2:$A$766, DREAMH!$A$2:$A$766, DREAMH!$B$2:$B$766, "F8. Phiếu tư vấn (từ lần 2)")=0)))</f>
        <v>0</v>
      </c>
      <c r="J36" s="78" cm="1">
        <f t="array" ref="J36">SUMPRODUCT((DREAMH!$D$2:$D$766="Its T time")*(DREAMH!$B$2:$B$766="F8. Phiếu tư vấn (từ lần 2)")*(COUNTIFS(DREAMH!$A$2:$A$766, DREAMH!$A$2:$A$766, DREAMH!$B$2:$B$766, "F8. Phiếu tư vấn (từ lần 2)")&gt;=2)*(INDEX(DREAMH!$K$2:$K$766,MATCH(DREAMH!$A$2:$A$766,DREAMH!$A$2:$A$766,0))="Nam quan hệ tình dục đồng giới (MSM)") / (COUNTIFS(DREAMH!$A$2:$A$766, DREAMH!$A$2:$A$766, DREAMH!$B$2:$B$766, "F8. Phiếu tư vấn (từ lần 2)") + (COUNTIFS(DREAMH!$A$2:$A$766, DREAMH!$A$2:$A$766, DREAMH!$B$2:$B$766, "F8. Phiếu tư vấn (từ lần 2)")=0)))</f>
        <v>0</v>
      </c>
      <c r="K36" s="37"/>
      <c r="L36" s="37" t="s">
        <v>35</v>
      </c>
      <c r="M36" s="37" t="s">
        <v>35</v>
      </c>
      <c r="N36" s="37" t="s">
        <v>35</v>
      </c>
      <c r="O36" s="91"/>
      <c r="P36" s="31"/>
    </row>
    <row r="37" spans="2:16" ht="18" customHeight="1" x14ac:dyDescent="0.3">
      <c r="B37" s="20">
        <v>3</v>
      </c>
      <c r="C37" s="56" t="s">
        <v>77</v>
      </c>
      <c r="D37" s="62"/>
      <c r="E37" s="81" cm="1">
        <f t="array" ref="E37">SUMPRODUCT((DREAMH!$D$2:$D$766="Its T time")*(DREAMH!$B$2:$B$766="F2. Truyền thông, sinh hoạt nhóm, vòng tròn chia sẻ, trị liệu nghệ thuật")*(DREAMH!$AA$2:$AA$766="Sinh hoạt nhóm"))</f>
        <v>0</v>
      </c>
      <c r="F37" s="81" cm="1">
        <f t="array" ref="F37">SUMPRODUCT((DREAMH!$D$2:$D$766="Its T time")*(DREAMH!$B$2:$B$766="F2. Truyền thông, sinh hoạt nhóm, vòng tròn chia sẻ, trị liệu nghệ thuật")*(DREAMH!$AA$2:$AA$766="Sinh hoạt nhóm")*(INDEX(DREAMH!$K$2:$K$766,MATCH(DREAMH!$A$2:$A$766,DREAMH!$A$2:$A$766,0))="Người sử dụng ma túy (PUD)"))</f>
        <v>0</v>
      </c>
      <c r="G37" s="81" cm="1">
        <f t="array" ref="G37">SUMPRODUCT((DREAMH!$D$2:$D$766="Its T time")*(DREAMH!$B$2:$B$766="F2. Truyền thông, sinh hoạt nhóm, vòng tròn chia sẻ, trị liệu nghệ thuật")*(DREAMH!$AA$2:$AA$766="Sinh hoạt nhóm")*(INDEX(DREAMH!$K$2:$K$766,MATCH(DREAMH!$A$2:$A$766,DREAMH!$A$2:$A$766,0))="Người sống chung với HIV (PLHIV)"))</f>
        <v>0</v>
      </c>
      <c r="H37" s="81" cm="1">
        <f t="array" ref="H37">SUMPRODUCT((DREAMH!$D$2:$D$766="Its T time")*(DREAMH!$B$2:$B$766="F2. Truyền thông, sinh hoạt nhóm, vòng tròn chia sẻ, trị liệu nghệ thuật")*(DREAMH!$AA$2:$AA$766="Sinh hoạt nhóm")*(INDEX(DREAMH!$K$2:$K$766,MATCH(DREAMH!$A$2:$A$766,DREAMH!$A$2:$A$766,0))="Người chuyển giới (TG)"))</f>
        <v>0</v>
      </c>
      <c r="I37" s="78" cm="1">
        <f t="array" ref="I37">SUMPRODUCT((DREAMH!$D$2:$D$766="Its T time")*(DREAMH!$B$2:$B$766="F2. Truyền thông, sinh hoạt nhóm, vòng tròn chia sẻ, trị liệu nghệ thuật")*(DREAMH!$AA$2:$AA$766="Sinh hoạt nhóm")*(INDEX(DREAMH!$K$2:$K$766,MATCH(DREAMH!$A$2:$A$766,DREAMH!$A$2:$A$766,0))="Người bán dâm (SW)"))</f>
        <v>0</v>
      </c>
      <c r="J37" s="78" cm="1">
        <f t="array" ref="J37">SUMPRODUCT((DREAMH!$D$2:$D$766="Its T time")*(DREAMH!$B$2:$B$766="F2. Truyền thông, sinh hoạt nhóm, vòng tròn chia sẻ, trị liệu nghệ thuật")*(DREAMH!$AA$2:$AA$766="Sinh hoạt nhóm")*(INDEX(DREAMH!$K$2:$K$766,MATCH(DREAMH!$A$2:$A$766,DREAMH!$A$2:$A$766,0))="Nam quan hệ tình dục đồng giới (MSM)"))</f>
        <v>0</v>
      </c>
      <c r="K37" s="37" t="s">
        <v>35</v>
      </c>
      <c r="L37" s="37" t="s">
        <v>35</v>
      </c>
      <c r="M37" s="37" t="s">
        <v>35</v>
      </c>
      <c r="N37" s="37" t="s">
        <v>35</v>
      </c>
      <c r="O37" s="84" t="s">
        <v>78</v>
      </c>
      <c r="P37" s="31" t="s">
        <v>60</v>
      </c>
    </row>
    <row r="38" spans="2:16" ht="18" customHeight="1" x14ac:dyDescent="0.3">
      <c r="B38" s="39">
        <v>4</v>
      </c>
      <c r="C38" s="45" t="s">
        <v>79</v>
      </c>
      <c r="D38" s="62"/>
      <c r="E38" s="81" cm="1">
        <f t="array" ref="E38">SUMPRODUCT(((DREAMH!$D$2:$D$766="Its T time")*(DREAMH!$B$2:$B$766="F2.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F38" s="81" cm="1">
        <f t="array" ref="F38">SUMPRODUCT(((DREAMH!$D$2:$D$766="Its T time")*(DREAMH!$B$2:$B$766="F2. Truyền thông, sinh hoạt nhóm, vòng tròn chia sẻ, trị liệu nghệ thuật")*(DREAMH!$AA$2:$AA$766="Sinh hoạt nhóm"))*(INDEX(DREAMH!$K$2:$K$766,MATCH(DREAMH!$A$2:$A$766,DREAMH!$A$2:$A$766,0))="Người sử dụng ma túy (PUD)")/(COUNTIFS(DREAMH!$A$2:$A$766,DREAMH!$A$2:$A$766,DREAMH!$B$2:$B$766,"F2.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G38" s="81" cm="1">
        <f t="array" ref="G38">SUMPRODUCT(((DREAMH!$D$2:$D$766="Its T time")*(DREAMH!$B$2:$B$766="F2. Truyền thông, sinh hoạt nhóm, vòng tròn chia sẻ, trị liệu nghệ thuật")*(DREAMH!$AA$2:$AA$766="Sinh hoạt nhóm"))*(INDEX(DREAMH!$K$2:$K$766,MATCH(DREAMH!$A$2:$A$766,DREAMH!$A$2:$A$766,0))="Người sống chung với HIV (PLHIV)")/(COUNTIFS(DREAMH!$A$2:$A$766,DREAMH!$A$2:$A$766,DREAMH!$B$2:$B$766,"F2.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H38" s="81" cm="1">
        <f t="array" ref="H38">SUMPRODUCT(((DREAMH!$D$2:$D$766="Its T time")*(DREAMH!$B$2:$B$766="F2. Truyền thông, sinh hoạt nhóm, vòng tròn chia sẻ, trị liệu nghệ thuật")*(DREAMH!$AA$2:$AA$766="Sinh hoạt nhóm"))*(INDEX(DREAMH!$K$2:$K$766,MATCH(DREAMH!$A$2:$A$766,DREAMH!$A$2:$A$766,0))="Người chuyển giới (TG)")/(COUNTIFS(DREAMH!$A$2:$A$766,DREAMH!$A$2:$A$766,DREAMH!$B$2:$B$766,"F2.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I38" s="78" cm="1">
        <f t="array" ref="I38">SUMPRODUCT(((DREAMH!$D$2:$D$766="Its T time")*(DREAMH!$B$2:$B$766="F2. Truyền thông, sinh hoạt nhóm, vòng tròn chia sẻ, trị liệu nghệ thuật")*(DREAMH!$AA$2:$AA$766="Sinh hoạt nhóm"))*(INDEX(DREAMH!$K$2:$K$766,MATCH(DREAMH!$A$2:$A$766,DREAMH!$A$2:$A$766,0))="Người bán dâm (SW)")/(COUNTIFS(DREAMH!$A$2:$A$766,DREAMH!$A$2:$A$766,DREAMH!$B$2:$B$766,"F2.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J38" s="78" cm="1">
        <f t="array" ref="J38">SUMPRODUCT(((DREAMH!$D$2:$D$766="Its T time")*(DREAMH!$B$2:$B$766="F2. Truyền thông, sinh hoạt nhóm, vòng tròn chia sẻ, trị liệu nghệ thuật")*(DREAMH!$AA$2:$AA$766="Sinh hoạt nhóm"))*(INDEX(DREAMH!$K$2:$K$766,MATCH(DREAMH!$A$2:$A$766,DREAMH!$A$2:$A$766,0))="Nam quan hệ tình dục đồng giới (MSM)")/(COUNTIFS(DREAMH!$A$2:$A$766,DREAMH!$A$2:$A$766,DREAMH!$B$2:$B$766,"F2.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K38" s="37" t="s">
        <v>35</v>
      </c>
      <c r="L38" s="37" t="s">
        <v>35</v>
      </c>
      <c r="M38" s="37" t="s">
        <v>35</v>
      </c>
      <c r="N38" s="37" t="s">
        <v>35</v>
      </c>
      <c r="O38" s="84"/>
      <c r="P38" s="31"/>
    </row>
    <row r="39" spans="2:16" ht="18" customHeight="1" x14ac:dyDescent="0.3">
      <c r="B39" s="39">
        <v>5</v>
      </c>
      <c r="C39" s="45" t="s">
        <v>80</v>
      </c>
      <c r="D39" s="62"/>
      <c r="E39" s="81" cm="1">
        <f t="array" ref="E39">SUMPRODUCT((DREAMH!$D$2:$D$766="Its T time")*(DREAMH!$B$2:$B$766="F2. Truyền thông, sinh hoạt nhóm, vòng tròn chia sẻ, trị liệu nghệ thuật")*(DREAMH!$AA$2:$AA$766="Can thiệp chữa lành"))</f>
        <v>0</v>
      </c>
      <c r="F39" s="81" cm="1">
        <f t="array" ref="F39">SUMPRODUCT((DREAMH!$D$2:$D$766="Its T time")*(DREAMH!$B$2:$B$766="F2. Truyền thông, sinh hoạt nhóm, vòng tròn chia sẻ, trị liệu nghệ thuật")*(DREAMH!$AA$2:$AA$766="Can thiệp chữa lành")*(INDEX(DREAMH!$K$2:$K$766,MATCH(DREAMH!$A$2:$A$766,DREAMH!$A$2:$A$766,0))="Người sử dụng ma túy (PUD)"))</f>
        <v>0</v>
      </c>
      <c r="G39" s="81" cm="1">
        <f t="array" ref="G39">SUMPRODUCT((DREAMH!$D$2:$D$766="Its T time")*(DREAMH!$B$2:$B$766="F2. Truyền thông, sinh hoạt nhóm, vòng tròn chia sẻ, trị liệu nghệ thuật")*(DREAMH!$AA$2:$AA$766="Can thiệp chữa lành")*(INDEX(DREAMH!$K$2:$K$766,MATCH(DREAMH!$A$2:$A$766,DREAMH!$A$2:$A$766,0))="Người sống chung với HIV (PLHIV)"))</f>
        <v>0</v>
      </c>
      <c r="H39" s="81" cm="1">
        <f t="array" ref="H39">SUMPRODUCT((DREAMH!$D$2:$D$766="Its T time")*(DREAMH!$B$2:$B$766="F2. Truyền thông, sinh hoạt nhóm, vòng tròn chia sẻ, trị liệu nghệ thuật")*(DREAMH!$AA$2:$AA$766="Can thiệp chữa lành")*(INDEX(DREAMH!$K$2:$K$766,MATCH(DREAMH!$A$2:$A$766,DREAMH!$A$2:$A$766,0))="Người chuyển giới (TG)"))</f>
        <v>0</v>
      </c>
      <c r="I39" s="78" cm="1">
        <f t="array" ref="I39">SUMPRODUCT((DREAMH!$D$2:$D$766="Its T time")*(DREAMH!$B$2:$B$766="F2. Truyền thông, sinh hoạt nhóm, vòng tròn chia sẻ, trị liệu nghệ thuật")*(DREAMH!$AA$2:$AA$766="Can thiệp chữa lành")*(INDEX(DREAMH!$K$2:$K$766,MATCH(DREAMH!$A$2:$A$766,DREAMH!$A$2:$A$766,0))="Người bán dâm (SW)"))</f>
        <v>0</v>
      </c>
      <c r="J39" s="78" cm="1">
        <f t="array" ref="J39">SUMPRODUCT((DREAMH!$D$2:$D$766="Its T time")*(DREAMH!$B$2:$B$766="F2. Truyền thông, sinh hoạt nhóm, vòng tròn chia sẻ, trị liệu nghệ thuật")*(DREAMH!$AA$2:$AA$766="Can thiệp chữa lành")*(INDEX(DREAMH!$K$2:$K$766,MATCH(DREAMH!$A$2:$A$766,DREAMH!$A$2:$A$766,0))="Nam quan hệ tình dục đồng giới (MSM)"))</f>
        <v>0</v>
      </c>
      <c r="K39" s="37" t="s">
        <v>35</v>
      </c>
      <c r="L39" s="37" t="s">
        <v>35</v>
      </c>
      <c r="M39" s="37" t="s">
        <v>35</v>
      </c>
      <c r="N39" s="37" t="s">
        <v>35</v>
      </c>
      <c r="O39" s="84"/>
      <c r="P39" s="31"/>
    </row>
    <row r="40" spans="2:16" ht="18" customHeight="1" x14ac:dyDescent="0.3">
      <c r="B40" s="20">
        <v>6</v>
      </c>
      <c r="C40" s="56" t="s">
        <v>81</v>
      </c>
      <c r="D40" s="62"/>
      <c r="E40" s="81" cm="1">
        <f t="array" ref="E40">SUMPRODUCT(((DREAMH!$D$2:$D$766="Its T time")*(DREAMH!$B$2:$B$766="F2.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F40" s="81" cm="1">
        <f t="array" ref="F40">SUMPRODUCT(((DREAMH!$D$2:$D$766="Its T time")*(DREAMH!$B$2:$B$766="F2. Truyền thông, sinh hoạt nhóm, vòng tròn chia sẻ, trị liệu nghệ thuật")*(DREAMH!$AA$2:$AA$766="Can thiệp chữa lành"))*(INDEX(DREAMH!$K$2:$K$766,MATCH(DREAMH!$A$2:$A$766,DREAMH!$A$2:$A$766,0))="Người sử dụng ma túy (PUD)")/(COUNTIFS(DREAMH!$A$2:$A$766,DREAMH!$A$2:$A$766,DREAMH!$B$2:$B$766,"F2.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G40" s="81" cm="1">
        <f t="array" ref="G40">SUMPRODUCT(((DREAMH!$D$2:$D$766="Its T time")*(DREAMH!$B$2:$B$766="F2. Truyền thông, sinh hoạt nhóm, vòng tròn chia sẻ, trị liệu nghệ thuật")*(DREAMH!$AA$2:$AA$766="Can thiệp chữa lành"))*(INDEX(DREAMH!$K$2:$K$766,MATCH(DREAMH!$A$2:$A$766,DREAMH!$A$2:$A$766,0))="Người sống chung với HIV (PLHIV)")/(COUNTIFS(DREAMH!$A$2:$A$766,DREAMH!$A$2:$A$766,DREAMH!$B$2:$B$766,"F2.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H40" s="81" cm="1">
        <f t="array" ref="H40">SUMPRODUCT(((DREAMH!$D$2:$D$766="Its T time")*(DREAMH!$B$2:$B$766="F2. Truyền thông, sinh hoạt nhóm, vòng tròn chia sẻ, trị liệu nghệ thuật")*(DREAMH!$AA$2:$AA$766="Can thiệp chữa lành"))*(INDEX(DREAMH!$K$2:$K$766,MATCH(DREAMH!$A$2:$A$766,DREAMH!$A$2:$A$766,0))="Người chuyển giới (TG)")/(COUNTIFS(DREAMH!$A$2:$A$766,DREAMH!$A$2:$A$766,DREAMH!$B$2:$B$766,"F2.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I40" s="78" cm="1">
        <f t="array" ref="I40">SUMPRODUCT(((DREAMH!$D$2:$D$766="Its T time")*(DREAMH!$B$2:$B$766="F2. Truyền thông, sinh hoạt nhóm, vòng tròn chia sẻ, trị liệu nghệ thuật")*(DREAMH!$AA$2:$AA$766="Can thiệp chữa lành"))*(INDEX(DREAMH!$K$2:$K$766,MATCH(DREAMH!$A$2:$A$766,DREAMH!$A$2:$A$766,0))="Người bán dâm (SW)")/(COUNTIFS(DREAMH!$A$2:$A$766,DREAMH!$A$2:$A$766,DREAMH!$B$2:$B$766,"F2.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J40" s="78" cm="1">
        <f t="array" ref="J40">SUMPRODUCT(((DREAMH!$D$2:$D$766="Its T time")*(DREAMH!$B$2:$B$766="F2. Truyền thông, sinh hoạt nhóm, vòng tròn chia sẻ, trị liệu nghệ thuật")*(DREAMH!$AA$2:$AA$766="Can thiệp chữa lành"))*(INDEX(DREAMH!$K$2:$K$766,MATCH(DREAMH!$A$2:$A$766,DREAMH!$A$2:$A$766,0))="Nam quan hệ tình dục đồng giới (MSM)")/(COUNTIFS(DREAMH!$A$2:$A$766,DREAMH!$A$2:$A$766,DREAMH!$B$2:$B$766,"F2.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K40" s="37" t="s">
        <v>35</v>
      </c>
      <c r="L40" s="37" t="s">
        <v>35</v>
      </c>
      <c r="M40" s="37" t="s">
        <v>35</v>
      </c>
      <c r="N40" s="37" t="s">
        <v>35</v>
      </c>
      <c r="O40" s="84"/>
      <c r="P40" s="31"/>
    </row>
    <row r="41" spans="2:16" s="8" customFormat="1" ht="18" customHeight="1" x14ac:dyDescent="0.3">
      <c r="B41" s="47" t="s">
        <v>82</v>
      </c>
      <c r="C41" s="63" t="s">
        <v>83</v>
      </c>
      <c r="D41" s="64"/>
      <c r="E41" s="6"/>
      <c r="F41" s="6"/>
      <c r="G41" s="6"/>
      <c r="H41" s="6"/>
      <c r="I41" s="41"/>
      <c r="J41" s="41"/>
      <c r="K41" s="54"/>
      <c r="L41" s="54"/>
      <c r="M41" s="54"/>
      <c r="N41" s="54"/>
      <c r="O41" s="65"/>
      <c r="P41" s="31"/>
    </row>
    <row r="42" spans="2:16" ht="22.5" customHeight="1" x14ac:dyDescent="0.3">
      <c r="B42" s="20">
        <v>1</v>
      </c>
      <c r="C42" s="85" t="s">
        <v>84</v>
      </c>
      <c r="D42" s="85"/>
      <c r="E42" s="19"/>
      <c r="F42" s="19"/>
      <c r="G42" s="19"/>
      <c r="H42" s="19"/>
      <c r="I42" s="34"/>
      <c r="J42" s="34"/>
      <c r="K42" s="37" t="s">
        <v>35</v>
      </c>
      <c r="L42" s="37" t="s">
        <v>35</v>
      </c>
      <c r="M42" s="37" t="s">
        <v>35</v>
      </c>
      <c r="N42" s="37" t="s">
        <v>35</v>
      </c>
      <c r="O42" s="86" t="s">
        <v>85</v>
      </c>
      <c r="P42" s="31" t="s">
        <v>86</v>
      </c>
    </row>
    <row r="43" spans="2:16" ht="22.5" customHeight="1" x14ac:dyDescent="0.25">
      <c r="B43" s="20">
        <v>2</v>
      </c>
      <c r="C43" s="85" t="s">
        <v>87</v>
      </c>
      <c r="D43" s="85"/>
      <c r="E43" s="36"/>
      <c r="F43" s="36"/>
      <c r="G43" s="36"/>
      <c r="H43" s="36"/>
      <c r="I43" s="34"/>
      <c r="J43" s="34"/>
      <c r="K43" s="37" t="s">
        <v>35</v>
      </c>
      <c r="L43" s="37" t="s">
        <v>35</v>
      </c>
      <c r="M43" s="37" t="s">
        <v>35</v>
      </c>
      <c r="N43" s="37" t="s">
        <v>35</v>
      </c>
      <c r="O43" s="86"/>
      <c r="P43" s="31" t="s">
        <v>86</v>
      </c>
    </row>
    <row r="44" spans="2:16" ht="18" customHeight="1" x14ac:dyDescent="0.25">
      <c r="B44" s="26" t="s">
        <v>88</v>
      </c>
      <c r="C44" s="4" t="s">
        <v>89</v>
      </c>
      <c r="D44" s="66"/>
      <c r="E44" s="36"/>
      <c r="F44" s="36"/>
      <c r="G44" s="36"/>
      <c r="H44" s="36"/>
      <c r="I44" s="34"/>
      <c r="J44" s="34"/>
      <c r="K44" s="37"/>
      <c r="L44" s="37"/>
      <c r="M44" s="37"/>
      <c r="N44" s="37"/>
      <c r="O44" s="38"/>
      <c r="P44" s="31"/>
    </row>
    <row r="45" spans="2:16" ht="16.5" customHeight="1" x14ac:dyDescent="0.25">
      <c r="B45" s="87">
        <v>1</v>
      </c>
      <c r="C45" s="88" t="s">
        <v>90</v>
      </c>
      <c r="D45" s="67" t="s">
        <v>91</v>
      </c>
      <c r="E45" s="36"/>
      <c r="F45" s="36"/>
      <c r="G45" s="36"/>
      <c r="H45" s="36"/>
      <c r="I45" s="34"/>
      <c r="J45" s="34"/>
      <c r="K45" s="37" t="s">
        <v>35</v>
      </c>
      <c r="L45" s="37" t="s">
        <v>35</v>
      </c>
      <c r="M45" s="37" t="s">
        <v>35</v>
      </c>
      <c r="N45" s="37" t="s">
        <v>35</v>
      </c>
      <c r="O45" s="89" t="s">
        <v>92</v>
      </c>
      <c r="P45" s="31"/>
    </row>
    <row r="46" spans="2:16" ht="16.5" customHeight="1" x14ac:dyDescent="0.25">
      <c r="B46" s="87"/>
      <c r="C46" s="87"/>
      <c r="D46" s="67" t="s">
        <v>93</v>
      </c>
      <c r="E46" s="36"/>
      <c r="F46" s="36"/>
      <c r="G46" s="36"/>
      <c r="H46" s="36"/>
      <c r="I46" s="34"/>
      <c r="J46" s="34"/>
      <c r="K46" s="37" t="s">
        <v>35</v>
      </c>
      <c r="L46" s="37" t="s">
        <v>35</v>
      </c>
      <c r="M46" s="37" t="s">
        <v>35</v>
      </c>
      <c r="N46" s="37" t="s">
        <v>35</v>
      </c>
      <c r="O46" s="89"/>
      <c r="P46" s="31"/>
    </row>
    <row r="47" spans="2:16" ht="16.5" customHeight="1" x14ac:dyDescent="0.25">
      <c r="B47" s="87"/>
      <c r="C47" s="87"/>
      <c r="D47" s="67" t="s">
        <v>94</v>
      </c>
      <c r="E47" s="36"/>
      <c r="F47" s="36"/>
      <c r="G47" s="36"/>
      <c r="H47" s="36"/>
      <c r="I47" s="34"/>
      <c r="J47" s="34"/>
      <c r="K47" s="37" t="s">
        <v>35</v>
      </c>
      <c r="L47" s="37" t="s">
        <v>35</v>
      </c>
      <c r="M47" s="37" t="s">
        <v>35</v>
      </c>
      <c r="N47" s="37" t="s">
        <v>35</v>
      </c>
      <c r="O47" s="89"/>
      <c r="P47" s="31"/>
    </row>
    <row r="48" spans="2:16" ht="16.5" customHeight="1" x14ac:dyDescent="0.25">
      <c r="B48" s="87"/>
      <c r="C48" s="87"/>
      <c r="D48" s="67" t="s">
        <v>95</v>
      </c>
      <c r="E48" s="36"/>
      <c r="F48" s="36"/>
      <c r="G48" s="36"/>
      <c r="H48" s="36"/>
      <c r="I48" s="34"/>
      <c r="J48" s="34"/>
      <c r="K48" s="37" t="s">
        <v>35</v>
      </c>
      <c r="L48" s="37" t="s">
        <v>35</v>
      </c>
      <c r="M48" s="37" t="s">
        <v>35</v>
      </c>
      <c r="N48" s="37" t="s">
        <v>35</v>
      </c>
      <c r="O48" s="89"/>
      <c r="P48" s="31"/>
    </row>
    <row r="49" spans="1:16" ht="16.5" customHeight="1" x14ac:dyDescent="0.25">
      <c r="B49" s="87"/>
      <c r="C49" s="87"/>
      <c r="D49" s="67" t="s">
        <v>96</v>
      </c>
      <c r="E49" s="36"/>
      <c r="F49" s="36"/>
      <c r="G49" s="36"/>
      <c r="H49" s="36"/>
      <c r="I49" s="34"/>
      <c r="J49" s="34"/>
      <c r="K49" s="37" t="s">
        <v>35</v>
      </c>
      <c r="L49" s="37" t="s">
        <v>35</v>
      </c>
      <c r="M49" s="37" t="s">
        <v>35</v>
      </c>
      <c r="N49" s="37" t="s">
        <v>35</v>
      </c>
      <c r="O49" s="89"/>
      <c r="P49" s="31"/>
    </row>
    <row r="50" spans="1:16" ht="16.5" customHeight="1" x14ac:dyDescent="0.25">
      <c r="B50" s="87"/>
      <c r="C50" s="87"/>
      <c r="D50" s="67" t="s">
        <v>97</v>
      </c>
      <c r="E50" s="36"/>
      <c r="F50" s="36"/>
      <c r="G50" s="36"/>
      <c r="H50" s="36"/>
      <c r="I50" s="34"/>
      <c r="J50" s="34"/>
      <c r="K50" s="37" t="s">
        <v>35</v>
      </c>
      <c r="L50" s="37" t="s">
        <v>35</v>
      </c>
      <c r="M50" s="37" t="s">
        <v>35</v>
      </c>
      <c r="N50" s="37" t="s">
        <v>35</v>
      </c>
      <c r="O50" s="89"/>
      <c r="P50" s="31"/>
    </row>
    <row r="51" spans="1:16" ht="18" customHeight="1" x14ac:dyDescent="0.25">
      <c r="B51" s="26" t="s">
        <v>98</v>
      </c>
      <c r="C51" s="4" t="s">
        <v>99</v>
      </c>
      <c r="D51" s="3"/>
      <c r="E51" s="1"/>
      <c r="F51" s="1"/>
      <c r="G51" s="1"/>
      <c r="H51" s="1"/>
      <c r="I51" s="34"/>
      <c r="J51" s="34"/>
      <c r="K51" s="37"/>
      <c r="L51" s="37"/>
      <c r="M51" s="37"/>
      <c r="N51" s="37"/>
      <c r="O51" s="38"/>
      <c r="P51" s="31"/>
    </row>
    <row r="52" spans="1:16" ht="63" customHeight="1" x14ac:dyDescent="0.25">
      <c r="B52" s="20">
        <v>1</v>
      </c>
      <c r="C52" s="3" t="s">
        <v>100</v>
      </c>
      <c r="D52" s="3"/>
      <c r="E52" s="1"/>
      <c r="F52" s="1"/>
      <c r="G52" s="1"/>
      <c r="H52" s="1"/>
      <c r="I52" s="34"/>
      <c r="J52" s="34"/>
      <c r="K52" s="37" t="s">
        <v>35</v>
      </c>
      <c r="L52" s="37" t="s">
        <v>35</v>
      </c>
      <c r="M52" s="37" t="s">
        <v>35</v>
      </c>
      <c r="N52" s="37" t="s">
        <v>35</v>
      </c>
      <c r="O52" s="82" t="s">
        <v>101</v>
      </c>
      <c r="P52" s="31"/>
    </row>
    <row r="53" spans="1:16" ht="63" customHeight="1" x14ac:dyDescent="0.25">
      <c r="B53" s="20">
        <v>2</v>
      </c>
      <c r="C53" s="3" t="s">
        <v>102</v>
      </c>
      <c r="D53" s="3"/>
      <c r="E53" s="1"/>
      <c r="F53" s="1"/>
      <c r="G53" s="1"/>
      <c r="H53" s="1"/>
      <c r="I53" s="34"/>
      <c r="J53" s="34"/>
      <c r="K53" s="37" t="s">
        <v>35</v>
      </c>
      <c r="L53" s="37" t="s">
        <v>35</v>
      </c>
      <c r="M53" s="37" t="s">
        <v>35</v>
      </c>
      <c r="N53" s="37" t="s">
        <v>35</v>
      </c>
      <c r="O53" s="82"/>
      <c r="P53" s="31"/>
    </row>
    <row r="54" spans="1:16" ht="15" customHeight="1" x14ac:dyDescent="0.25">
      <c r="P54" s="68"/>
    </row>
    <row r="55" spans="1:16" ht="14.25" customHeight="1" x14ac:dyDescent="0.25">
      <c r="B55" s="69"/>
      <c r="E55" s="70"/>
      <c r="F55" s="70"/>
    </row>
    <row r="56" spans="1:16" ht="16.5" customHeight="1" x14ac:dyDescent="0.35">
      <c r="A56" s="83"/>
      <c r="B56" s="83"/>
      <c r="C56" s="71"/>
      <c r="E56" s="72"/>
      <c r="F56" s="72"/>
    </row>
  </sheetData>
  <autoFilter ref="B4:O53" xr:uid="{00000000-0009-0000-0000-000002000000}">
    <filterColumn colId="0" hiddenButton="1"/>
  </autoFilter>
  <mergeCells count="26">
    <mergeCell ref="F3:J3"/>
    <mergeCell ref="K3:N3"/>
    <mergeCell ref="C4:D4"/>
    <mergeCell ref="C5:D5"/>
    <mergeCell ref="C6:D6"/>
    <mergeCell ref="C7:D7"/>
    <mergeCell ref="C8:D8"/>
    <mergeCell ref="C9:D9"/>
    <mergeCell ref="C10:D10"/>
    <mergeCell ref="O10:O12"/>
    <mergeCell ref="C11:D11"/>
    <mergeCell ref="C12:D12"/>
    <mergeCell ref="C14:D14"/>
    <mergeCell ref="C19:D19"/>
    <mergeCell ref="O25:O29"/>
    <mergeCell ref="O31:O36"/>
    <mergeCell ref="C33:D33"/>
    <mergeCell ref="O52:O53"/>
    <mergeCell ref="A56:B56"/>
    <mergeCell ref="O37:O40"/>
    <mergeCell ref="C42:D42"/>
    <mergeCell ref="O42:O43"/>
    <mergeCell ref="C43:D43"/>
    <mergeCell ref="B45:B50"/>
    <mergeCell ref="C45:C50"/>
    <mergeCell ref="O45:O50"/>
  </mergeCells>
  <pageMargins left="0.7" right="0.7" top="0.75" bottom="0.75" header="0.511811023622047" footer="0.511811023622047"/>
  <pageSetup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56"/>
  <sheetViews>
    <sheetView tabSelected="1" zoomScale="80" zoomScaleNormal="80" workbookViewId="0">
      <pane ySplit="4" topLeftCell="A5" activePane="bottomLeft" state="frozen"/>
      <selection pane="bottomLeft" activeCell="F24" sqref="F24"/>
    </sheetView>
  </sheetViews>
  <sheetFormatPr defaultColWidth="8.59765625" defaultRowHeight="13.8" x14ac:dyDescent="0.25"/>
  <cols>
    <col min="3" max="3" width="47" customWidth="1"/>
    <col min="4" max="4" width="30.69921875" customWidth="1"/>
    <col min="5" max="5" width="10.09765625" style="7" customWidth="1"/>
    <col min="6" max="10" width="8.8984375" style="7" customWidth="1"/>
    <col min="11" max="11" width="9" style="12" customWidth="1"/>
    <col min="12" max="14" width="6.3984375" style="12" customWidth="1"/>
    <col min="15" max="15" width="41.19921875" style="12" customWidth="1"/>
    <col min="16" max="16" width="72.19921875" customWidth="1"/>
  </cols>
  <sheetData>
    <row r="2" spans="2:16" ht="18" customHeight="1" x14ac:dyDescent="0.3">
      <c r="B2" s="13"/>
      <c r="C2" s="14" t="s">
        <v>15</v>
      </c>
      <c r="D2" s="15"/>
      <c r="E2" s="15"/>
      <c r="F2" s="15"/>
      <c r="G2" s="15"/>
      <c r="H2" s="15"/>
      <c r="I2" s="16"/>
      <c r="J2" s="16"/>
      <c r="K2" s="17"/>
      <c r="L2" s="17"/>
      <c r="M2" s="17"/>
      <c r="N2" s="17"/>
      <c r="O2" s="17"/>
    </row>
    <row r="3" spans="2:16" ht="18.75" customHeight="1" x14ac:dyDescent="0.3">
      <c r="B3" s="13"/>
      <c r="C3" s="18" t="s">
        <v>16</v>
      </c>
      <c r="D3" s="18"/>
      <c r="E3" s="19"/>
      <c r="F3" s="96" t="s">
        <v>17</v>
      </c>
      <c r="G3" s="96"/>
      <c r="H3" s="96"/>
      <c r="I3" s="96"/>
      <c r="J3" s="96"/>
      <c r="K3" s="97" t="s">
        <v>2</v>
      </c>
      <c r="L3" s="97"/>
      <c r="M3" s="97"/>
      <c r="N3" s="97"/>
      <c r="O3" s="17"/>
    </row>
    <row r="4" spans="2:16" ht="29.25" customHeight="1" x14ac:dyDescent="0.25">
      <c r="B4" s="20" t="s">
        <v>18</v>
      </c>
      <c r="C4" s="98" t="s">
        <v>19</v>
      </c>
      <c r="D4" s="98"/>
      <c r="E4" s="5" t="s">
        <v>20</v>
      </c>
      <c r="F4" s="21" t="s">
        <v>21</v>
      </c>
      <c r="G4" s="21" t="s">
        <v>22</v>
      </c>
      <c r="H4" s="21" t="s">
        <v>23</v>
      </c>
      <c r="I4" s="22" t="s">
        <v>24</v>
      </c>
      <c r="J4" s="22" t="s">
        <v>25</v>
      </c>
      <c r="K4" s="23" t="s">
        <v>26</v>
      </c>
      <c r="L4" s="23" t="s">
        <v>27</v>
      </c>
      <c r="M4" s="23" t="s">
        <v>28</v>
      </c>
      <c r="N4" s="23" t="s">
        <v>29</v>
      </c>
      <c r="O4" s="24" t="s">
        <v>30</v>
      </c>
      <c r="P4" s="25" t="s">
        <v>31</v>
      </c>
    </row>
    <row r="5" spans="2:16" ht="33.75" customHeight="1" x14ac:dyDescent="0.25">
      <c r="B5" s="26" t="s">
        <v>32</v>
      </c>
      <c r="C5" s="99" t="s">
        <v>33</v>
      </c>
      <c r="D5" s="99"/>
      <c r="E5" s="27"/>
      <c r="F5" s="27"/>
      <c r="G5" s="27"/>
      <c r="H5" s="27"/>
      <c r="I5" s="28"/>
      <c r="J5" s="28"/>
      <c r="K5" s="29"/>
      <c r="L5" s="29"/>
      <c r="M5" s="29"/>
      <c r="N5" s="29"/>
      <c r="O5" s="30"/>
      <c r="P5" s="31"/>
    </row>
    <row r="6" spans="2:16" ht="33" customHeight="1" x14ac:dyDescent="0.25">
      <c r="B6" s="20">
        <v>1</v>
      </c>
      <c r="C6" s="100" t="s">
        <v>34</v>
      </c>
      <c r="D6" s="100"/>
      <c r="E6" s="75" cm="1">
        <f t="array" ref="E6">SUMPRODUCT((DREAMH!$D$2:$D$766="Liên minh hạnh phúc")*(DREAMH!$B$2:$B$766=""))</f>
        <v>100</v>
      </c>
      <c r="F6" s="75" cm="1">
        <f t="array" ref="F6">SUMPRODUCT((DREAMH!$D$2:$D$766="Liên minh hạnh phúc")*(DREAMH!$B$2:$B$766="")*(INDEX(DREAMH!$K$2:$K$766,MATCH(DREAMH!$A$2:$A$766,DREAMH!$A$2:$A$766,0))="Người sử dụng ma túy (PUD)"))</f>
        <v>43</v>
      </c>
      <c r="G6" s="75" cm="1">
        <f t="array" ref="G6">SUMPRODUCT((DREAMH!$D$2:$D$766="Liên minh hạnh phúc")*(DREAMH!$B$2:$B$766="")*(INDEX(DREAMH!$K$2:$K$766,MATCH(DREAMH!$A$2:$A$766,DREAMH!$A$2:$A$766,0))="Người sống chung với HIV (PLHIV)"))</f>
        <v>0</v>
      </c>
      <c r="H6" s="75" cm="1">
        <f t="array" ref="H6">SUMPRODUCT((DREAMH!$D$2:$D$766="Liên minh hạnh phúc")*(DREAMH!$B$2:$B$766="")*(INDEX(DREAMH!$K$2:$K$766,MATCH(DREAMH!$A$2:$A$766,DREAMH!$A$2:$A$766,0))="Người chuyển giới (TG)"))</f>
        <v>0</v>
      </c>
      <c r="I6" s="76" cm="1">
        <f t="array" ref="I6">SUMPRODUCT((DREAMH!$D$2:$D$766="Liên minh hạnh phúc")*(DREAMH!$B$2:$B$766="")*(INDEX(DREAMH!$K$2:$K$766,MATCH(DREAMH!$A$2:$A$766,DREAMH!$A$2:$A$766,0))="Người bán dâm (SW)"))</f>
        <v>29</v>
      </c>
      <c r="J6" s="76" cm="1">
        <f t="array" ref="J6">SUMPRODUCT((DREAMH!$D$2:$D$766="Liên minh hạnh phúc")*(DREAMH!$B$2:$B$766="")*(INDEX(DREAMH!$K$2:$K$766,MATCH(DREAMH!$A$2:$A$766,DREAMH!$A$2:$A$766,0))="Nam quan hệ tình dục đồng giới (MSM)"))</f>
        <v>28</v>
      </c>
      <c r="K6" s="32"/>
      <c r="L6" s="32" t="s">
        <v>35</v>
      </c>
      <c r="M6" s="32" t="s">
        <v>35</v>
      </c>
      <c r="N6" s="32" t="s">
        <v>35</v>
      </c>
      <c r="O6" s="33" t="s">
        <v>36</v>
      </c>
      <c r="P6" s="31"/>
    </row>
    <row r="7" spans="2:16" ht="34.5" customHeight="1" x14ac:dyDescent="0.25">
      <c r="B7" s="20">
        <v>2</v>
      </c>
      <c r="C7" s="93" t="s">
        <v>37</v>
      </c>
      <c r="D7" s="93"/>
      <c r="E7" s="75" cm="1">
        <f t="array" ref="E7">SUMPRODUCT((DREAMH!$D$2:$D$766="Liên minh hạnh phúc")*(DREAMH!$B$2:$B$766=""))</f>
        <v>100</v>
      </c>
      <c r="F7" s="75" cm="1">
        <f t="array" ref="F7">SUMPRODUCT((DREAMH!$D$2:$D$766="Liên minh hạnh phúc")*(DREAMH!$B$2:$B$766="")*(INDEX(DREAMH!$K$2:$K$766,MATCH(DREAMH!$A$2:$A$766,DREAMH!$A$2:$A$766,0))="Người sử dụng ma túy (PUD)"))</f>
        <v>43</v>
      </c>
      <c r="G7" s="75" cm="1">
        <f t="array" ref="G7">SUMPRODUCT((DREAMH!$D$2:$D$766="Liên minh hạnh phúc")*(DREAMH!$B$2:$B$766="")*(INDEX(DREAMH!$K$2:$K$766,MATCH(DREAMH!$A$2:$A$766,DREAMH!$A$2:$A$766,0))="Người sống chung với HIV (PLHIV)"))</f>
        <v>0</v>
      </c>
      <c r="H7" s="75" cm="1">
        <f t="array" ref="H7">SUMPRODUCT((DREAMH!$D$2:$D$766="Liên minh hạnh phúc")*(DREAMH!$B$2:$B$766="")*(INDEX(DREAMH!$K$2:$K$766,MATCH(DREAMH!$A$2:$A$766,DREAMH!$A$2:$A$766,0))="Người chuyển giới (TG)"))</f>
        <v>0</v>
      </c>
      <c r="I7" s="76" cm="1">
        <f t="array" ref="I7">SUMPRODUCT((DREAMH!$D$2:$D$766="Liên minh hạnh phúc")*(DREAMH!$B$2:$B$766="")*(INDEX(DREAMH!$K$2:$K$766,MATCH(DREAMH!$A$2:$A$766,DREAMH!$A$2:$A$766,0))="Người bán dâm (SW)"))</f>
        <v>29</v>
      </c>
      <c r="J7" s="76" cm="1">
        <f t="array" ref="J7">SUMPRODUCT((DREAMH!$D$2:$D$766="Liên minh hạnh phúc")*(DREAMH!$B$2:$B$766="")*(INDEX(DREAMH!$K$2:$K$766,MATCH(DREAMH!$A$2:$A$766,DREAMH!$A$2:$A$766,0))="Nam quan hệ tình dục đồng giới (MSM)"))</f>
        <v>28</v>
      </c>
      <c r="K7" s="32" t="s">
        <v>35</v>
      </c>
      <c r="L7" s="32" t="s">
        <v>35</v>
      </c>
      <c r="M7" s="32" t="s">
        <v>35</v>
      </c>
      <c r="N7" s="32" t="s">
        <v>35</v>
      </c>
      <c r="O7" s="33" t="s">
        <v>36</v>
      </c>
      <c r="P7" s="31"/>
    </row>
    <row r="8" spans="2:16" ht="18" customHeight="1" x14ac:dyDescent="0.25">
      <c r="B8" s="20">
        <v>3</v>
      </c>
      <c r="C8" s="93" t="s">
        <v>38</v>
      </c>
      <c r="D8" s="93"/>
      <c r="E8" s="77" cm="1">
        <f t="array" ref="E8">SUMPRODUCT((DREAMH!$D$2:$D$766="Liên minh hạnh phúc")*(DREAMH!$B$2:$B$766="F9. Theo dấu khách hàng")*(DREAMH!$JA$2:$JA$766="Chọn"))</f>
        <v>0</v>
      </c>
      <c r="F8" s="77" cm="1">
        <f t="array" ref="F8">SUMPRODUCT((DREAMH!$D$2:$D$766="Liên minh hạnh phúc")*(DREAMH!$B$2:$B$766="F9. Theo dấu khách hàng")*(DREAMH!$JA$2:$JA$766="Chọn")*(INDEX(DREAMH!$K$2:$K$766,MATCH(DREAMH!$A$2:$A$766,DREAMH!$A$2:$A$766,0))="Người sử dụng ma túy (PUD)"))</f>
        <v>0</v>
      </c>
      <c r="G8" s="77" cm="1">
        <f t="array" ref="G8">SUMPRODUCT((DREAMH!$D$2:$D$766="Liên minh hạnh phúc")*(DREAMH!$B$2:$B$766="F9. Theo dấu khách hàng")*(DREAMH!$JA$2:$JA$766="Chọn")*(INDEX(DREAMH!$K$2:$K$766,MATCH(DREAMH!$A$2:$A$766,DREAMH!$A$2:$A$766,0))="Người sống chung với HIV (PLHIV)"))</f>
        <v>0</v>
      </c>
      <c r="H8" s="77" cm="1">
        <f t="array" ref="H8">SUMPRODUCT((DREAMH!$D$2:$D$766="Liên minh hạnh phúc")*(DREAMH!$B$2:$B$766="F9. Theo dấu khách hàng")*(DREAMH!$JA$2:$JA$766="Chọn")*(INDEX(DREAMH!$K$2:$K$766,MATCH(DREAMH!$A$2:$A$766,DREAMH!$A$2:$A$766,0))="Người chuyển giới (TG)"))</f>
        <v>0</v>
      </c>
      <c r="I8" s="78" cm="1">
        <f t="array" ref="I8">SUMPRODUCT((DREAMH!$D$2:$D$766="Liên minh hạnh phúc")*(DREAMH!$B$2:$B$766="F9. Theo dấu khách hàng")*(DREAMH!$JA$2:$JA$766="Chọn")*(INDEX(DREAMH!$K$2:$K$766,MATCH(DREAMH!$A$2:$A$766,DREAMH!$A$2:$A$766,0))="Người bán dâm (SW)"))</f>
        <v>0</v>
      </c>
      <c r="J8" s="78" cm="1">
        <f t="array" ref="J8">SUMPRODUCT((DREAMH!$D$2:$D$766="Liên minh hạnh phúc")*(DREAMH!$B$2:$B$766="F9. Theo dấu khách hàng")*(DREAMH!$JA$2:$JA$766="Chọn")*(INDEX(DREAMH!$K$2:$K$766,MATCH(DREAMH!$A$2:$A$766,DREAMH!$A$2:$A$766,0))="Nam quan hệ tình dục đồng giới (MSM)"))</f>
        <v>0</v>
      </c>
      <c r="K8" s="32"/>
      <c r="L8" s="32" t="s">
        <v>35</v>
      </c>
      <c r="M8" s="32" t="s">
        <v>35</v>
      </c>
      <c r="N8" s="32" t="s">
        <v>35</v>
      </c>
      <c r="O8" s="35" t="s">
        <v>39</v>
      </c>
      <c r="P8" s="31" t="s">
        <v>40</v>
      </c>
    </row>
    <row r="9" spans="2:16" ht="18" customHeight="1" x14ac:dyDescent="0.25">
      <c r="B9" s="26" t="s">
        <v>41</v>
      </c>
      <c r="C9" s="94" t="s">
        <v>42</v>
      </c>
      <c r="D9" s="94"/>
      <c r="E9" s="77"/>
      <c r="F9" s="77"/>
      <c r="G9" s="77"/>
      <c r="H9" s="77"/>
      <c r="I9" s="78"/>
      <c r="J9" s="78"/>
      <c r="K9" s="37"/>
      <c r="L9" s="37"/>
      <c r="M9" s="37"/>
      <c r="N9" s="37"/>
      <c r="O9" s="38"/>
      <c r="P9" s="31"/>
    </row>
    <row r="10" spans="2:16" ht="24" customHeight="1" x14ac:dyDescent="0.25">
      <c r="B10" s="20">
        <v>1</v>
      </c>
      <c r="C10" s="91" t="s">
        <v>43</v>
      </c>
      <c r="D10" s="91"/>
      <c r="E10" s="77" cm="1">
        <f t="array" ref="E10">SUMPRODUCT((DREAMH!$D$2:$D$766="Liên minh hạnh phúc")*(DREAMH!$B$2:$B$766="F2. Truyền thông, sinh hoạt nhóm, vòng tròn chia sẻ, trị liệu nghệ thuật")*(DREAMH!$AA$2:$AA$766="Truyền thông")*(DREAMH!$C$2:$C$766=1))</f>
        <v>97</v>
      </c>
      <c r="F10" s="77" cm="1">
        <f t="array" ref="F10">SUMPRODUCT((DREAMH!$D$2:$D$766="Liên minh hạnh phúc")*(DREAMH!$B$2:$B$766="F2. Truyền thông, sinh hoạt nhóm, vòng tròn chia sẻ, trị liệu nghệ thuật")*(DREAMH!$AA$2:$AA$766="Truyền thông")*(DREAMH!$C$2:$C$766=1)*(INDEX(DREAMH!$K$2:$K$766,MATCH(DREAMH!$A$2:$A$766,DREAMH!$A$2:$A$766,0))="Người sử dụng ma túy (PUD)"))</f>
        <v>43</v>
      </c>
      <c r="G10" s="77" cm="1">
        <f t="array" ref="G10">SUMPRODUCT((DREAMH!$D$2:$D$766="Liên minh hạnh phúc")*(DREAMH!$B$2:$B$766="F2. Truyền thông, sinh hoạt nhóm, vòng tròn chia sẻ, trị liệu nghệ thuật")*(DREAMH!$AA$2:$AA$766="Truyền thông")*(DREAMH!$C$2:$C$766=1)*(INDEX(DREAMH!$K$2:$K$766,MATCH(DREAMH!$A$2:$A$766,DREAMH!$A$2:$A$766,0))="Người sống chung với HIV (PLHIV)"))</f>
        <v>0</v>
      </c>
      <c r="H10" s="77" cm="1">
        <f t="array" ref="H10">SUMPRODUCT((DREAMH!$D$2:$D$766="Liên minh hạnh phúc")*(DREAMH!$B$2:$B$766="F2. Truyền thông, sinh hoạt nhóm, vòng tròn chia sẻ, trị liệu nghệ thuật")*(DREAMH!$AA$2:$AA$766="Truyền thông")*(DREAMH!$C$2:$C$766=1)*(INDEX(DREAMH!$K$2:$K$766,MATCH(DREAMH!$A$2:$A$766,DREAMH!$A$2:$A$766,0))="Người chuyển giới (TG)"))</f>
        <v>0</v>
      </c>
      <c r="I10" s="78" cm="1">
        <f t="array" ref="I10">SUMPRODUCT((DREAMH!$D$2:$D$766="Liên minh hạnh phúc")*(DREAMH!$B$2:$B$766="F2. Truyền thông, sinh hoạt nhóm, vòng tròn chia sẻ, trị liệu nghệ thuật")*(DREAMH!$AA$2:$AA$766="Truyền thông")*(DREAMH!$C$2:$C$766=1)*(INDEX(DREAMH!$K$2:$K$766,MATCH(DREAMH!$A$2:$A$766,DREAMH!$A$2:$A$766,0))="Người bán dâm (SW)"))</f>
        <v>29</v>
      </c>
      <c r="J10" s="78" cm="1">
        <f t="array" ref="J10">SUMPRODUCT((DREAMH!$D$2:$D$766="Liên minh hạnh phúc")*(DREAMH!$B$2:$B$766="F2. Truyền thông, sinh hoạt nhóm, vòng tròn chia sẻ, trị liệu nghệ thuật")*(DREAMH!$AA$2:$AA$766="Truyền thông")*(DREAMH!$C$2:$C$766=1)*(INDEX(DREAMH!$K$2:$K$766,MATCH(DREAMH!$A$2:$A$766,DREAMH!$A$2:$A$766,0))="Nam quan hệ tình dục đồng giới (MSM)"))</f>
        <v>25</v>
      </c>
      <c r="K10" s="37" t="s">
        <v>35</v>
      </c>
      <c r="L10" s="37" t="s">
        <v>35</v>
      </c>
      <c r="M10" s="37" t="s">
        <v>35</v>
      </c>
      <c r="N10" s="37" t="s">
        <v>35</v>
      </c>
      <c r="O10" s="91" t="s">
        <v>44</v>
      </c>
      <c r="P10" s="31"/>
    </row>
    <row r="11" spans="2:16" ht="18" customHeight="1" x14ac:dyDescent="0.25">
      <c r="B11" s="39">
        <v>2</v>
      </c>
      <c r="C11" s="91" t="s">
        <v>45</v>
      </c>
      <c r="D11" s="91"/>
      <c r="E11" s="77" cm="1">
        <f t="array" ref="E11">SUMPRODUCT((DREAMH!$D$2:$D$766="Liên minh hạnh phúc")*(DREAMH!$B$2:$B$766="F2. Truyền thông, sinh hoạt nhóm, vòng tròn chia sẻ, trị liệu nghệ thuật")*(DREAMH!$AA$2:$AA$766="Truyền thông")*(DREAMH!$C$2:$C$766=2))</f>
        <v>0</v>
      </c>
      <c r="F11" s="77" cm="1">
        <f t="array" ref="F11">SUMPRODUCT((DREAMH!$D$2:$D$766="Liên minh hạnh phúc")*(DREAMH!$B$2:$B$766="F2. Truyền thông, sinh hoạt nhóm, vòng tròn chia sẻ, trị liệu nghệ thuật")*(DREAMH!$AA$2:$AA$766="Truyền thông")*(DREAMH!$C$2:$C$766=2)*(INDEX(DREAMH!$K$2:$K$766,MATCH(DREAMH!$A$2:$A$766,DREAMH!$A$2:$A$766,0))="Người sử dụng ma túy (PUD)"))</f>
        <v>0</v>
      </c>
      <c r="G11" s="77" cm="1">
        <f t="array" ref="G11">SUMPRODUCT((DREAMH!$D$2:$D$766="Liên minh hạnh phúc")*(DREAMH!$B$2:$B$766="F2. Truyền thông, sinh hoạt nhóm, vòng tròn chia sẻ, trị liệu nghệ thuật")*(DREAMH!$AA$2:$AA$766="Truyền thông")*(DREAMH!$C$2:$C$766=2)*(INDEX(DREAMH!$K$2:$K$766,MATCH(DREAMH!$A$2:$A$766,DREAMH!$A$2:$A$766,0))="Người sống chung với HIV (PLHIV)"))</f>
        <v>0</v>
      </c>
      <c r="H11" s="77" cm="1">
        <f t="array" ref="H11">SUMPRODUCT((DREAMH!$D$2:$D$766="Liên minh hạnh phúc")*(DREAMH!$B$2:$B$766="F2. Truyền thông, sinh hoạt nhóm, vòng tròn chia sẻ, trị liệu nghệ thuật")*(DREAMH!$AA$2:$AA$766="Truyền thông")*(DREAMH!$C$2:$C$766=2)*(INDEX(DREAMH!$K$2:$K$766,MATCH(DREAMH!$A$2:$A$766,DREAMH!$A$2:$A$766,0))="Người chuyển giới (TG)"))</f>
        <v>0</v>
      </c>
      <c r="I11" s="78" cm="1">
        <f t="array" ref="I11">SUMPRODUCT((DREAMH!$D$2:$D$766="Liên minh hạnh phúc")*(DREAMH!$B$2:$B$766="F2. Truyền thông, sinh hoạt nhóm, vòng tròn chia sẻ, trị liệu nghệ thuật")*(DREAMH!$AA$2:$AA$766="Truyền thông")*(DREAMH!$C$2:$C$766=2)*(INDEX(DREAMH!$K$2:$K$766,MATCH(DREAMH!$A$2:$A$766,DREAMH!$A$2:$A$766,0))="Người bán dâm (SW)"))</f>
        <v>0</v>
      </c>
      <c r="J11" s="78" cm="1">
        <f t="array" ref="J11">SUMPRODUCT((DREAMH!$D$2:$D$766="Liên minh hạnh phúc")*(DREAMH!$B$2:$B$766="F2. Truyền thông, sinh hoạt nhóm, vòng tròn chia sẻ, trị liệu nghệ thuật")*(DREAMH!$AA$2:$AA$766="Truyền thông")*(DREAMH!$C$2:$C$766=2)*(INDEX(DREAMH!$K$2:$K$766,MATCH(DREAMH!$A$2:$A$766,DREAMH!$A$2:$A$766,0))="Nam quan hệ tình dục đồng giới (MSM)"))</f>
        <v>0</v>
      </c>
      <c r="K11" s="37" t="s">
        <v>35</v>
      </c>
      <c r="L11" s="37" t="s">
        <v>35</v>
      </c>
      <c r="M11" s="37" t="s">
        <v>35</v>
      </c>
      <c r="N11" s="37" t="s">
        <v>35</v>
      </c>
      <c r="O11" s="91"/>
      <c r="P11" s="31"/>
    </row>
    <row r="12" spans="2:16" ht="28.5" customHeight="1" x14ac:dyDescent="0.25">
      <c r="B12" s="20">
        <v>3</v>
      </c>
      <c r="C12" s="95" t="s">
        <v>46</v>
      </c>
      <c r="D12" s="95"/>
      <c r="E12" s="79" cm="1">
        <f t="array" ref="E12">SUMPRODUCT((DREAMH!$D$2:$D$766="Liên minh hạnh phúc")*(DREAMH!$B$2:$B$766="F2. Truyền thông, sinh hoạt nhóm, vòng tròn chia sẻ, trị liệu nghệ thuật")*(DREAMH!$AA$2:$AA$766="Truyền thông"))</f>
        <v>97</v>
      </c>
      <c r="F12" s="79" cm="1">
        <f t="array" ref="F12">SUMPRODUCT((DREAMH!$D$2:$D$766="Liên minh hạnh phúc")*(DREAMH!$B$2:$B$766="F2. Truyền thông, sinh hoạt nhóm, vòng tròn chia sẻ, trị liệu nghệ thuật")*(DREAMH!$AA$2:$AA$766="Truyền thông")*(INDEX(DREAMH!$K$2:$K$766,MATCH(DREAMH!$A$2:$A$766,DREAMH!$A$2:$A$766,0))="Người sử dụng ma túy (PUD)"))</f>
        <v>43</v>
      </c>
      <c r="G12" s="79" cm="1">
        <f t="array" ref="G12">SUMPRODUCT((DREAMH!$D$2:$D$766="Liên minh hạnh phúc")*(DREAMH!$B$2:$B$766="F2. Truyền thông, sinh hoạt nhóm, vòng tròn chia sẻ, trị liệu nghệ thuật")*(DREAMH!$AA$2:$AA$766="Truyền thông")*(INDEX(DREAMH!$K$2:$K$766,MATCH(DREAMH!$A$2:$A$766,DREAMH!$A$2:$A$766,0))="Người sống chung với HIV (PLHIV)"))</f>
        <v>0</v>
      </c>
      <c r="H12" s="79" cm="1">
        <f t="array" ref="H12">SUMPRODUCT((DREAMH!$D$2:$D$766="Liên minh hạnh phúc")*(DREAMH!$B$2:$B$766="F2. Truyền thông, sinh hoạt nhóm, vòng tròn chia sẻ, trị liệu nghệ thuật")*(DREAMH!$AA$2:$AA$766="Truyền thông")*(INDEX(DREAMH!$K$2:$K$766,MATCH(DREAMH!$A$2:$A$766,DREAMH!$A$2:$A$766,0))="Người chuyển giới (TG)"))</f>
        <v>0</v>
      </c>
      <c r="I12" s="78" cm="1">
        <f t="array" ref="I12">SUMPRODUCT((DREAMH!$D$2:$D$766="Liên minh hạnh phúc")*(DREAMH!$B$2:$B$766="F2. Truyền thông, sinh hoạt nhóm, vòng tròn chia sẻ, trị liệu nghệ thuật")*(DREAMH!$AA$2:$AA$766="Truyền thông")*(INDEX(DREAMH!$K$2:$K$766,MATCH(DREAMH!$A$2:$A$766,DREAMH!$A$2:$A$766,0))="Người bán dâm (SW)"))</f>
        <v>29</v>
      </c>
      <c r="J12" s="78" cm="1">
        <f t="array" ref="J12">SUMPRODUCT((DREAMH!$D$2:$D$766="Liên minh hạnh phúc")*(DREAMH!$B$2:$B$766="F2. Truyền thông, sinh hoạt nhóm, vòng tròn chia sẻ, trị liệu nghệ thuật")*(DREAMH!$AA$2:$AA$766="Truyền thông")*(INDEX(DREAMH!$K$2:$K$766,MATCH(DREAMH!$A$2:$A$766,DREAMH!$A$2:$A$766,0))="Nam quan hệ tình dục đồng giới (MSM)"))</f>
        <v>25</v>
      </c>
      <c r="K12" s="37" t="s">
        <v>35</v>
      </c>
      <c r="L12" s="37" t="s">
        <v>35</v>
      </c>
      <c r="M12" s="37" t="s">
        <v>35</v>
      </c>
      <c r="N12" s="37" t="s">
        <v>35</v>
      </c>
      <c r="O12" s="91"/>
      <c r="P12" s="31"/>
    </row>
    <row r="13" spans="2:16" ht="18" customHeight="1" x14ac:dyDescent="0.25">
      <c r="B13" s="26" t="s">
        <v>47</v>
      </c>
      <c r="C13" s="40" t="s">
        <v>48</v>
      </c>
      <c r="D13" s="2"/>
      <c r="E13" s="79"/>
      <c r="F13" s="79"/>
      <c r="G13" s="79"/>
      <c r="H13" s="79"/>
      <c r="I13" s="78"/>
      <c r="J13" s="78"/>
      <c r="K13" s="37"/>
      <c r="L13" s="37"/>
      <c r="M13" s="37"/>
      <c r="N13" s="37"/>
      <c r="O13" s="38" t="s">
        <v>49</v>
      </c>
      <c r="P13" s="31"/>
    </row>
    <row r="14" spans="2:16" s="8" customFormat="1" ht="18" customHeight="1" x14ac:dyDescent="0.25">
      <c r="B14" s="39">
        <v>1</v>
      </c>
      <c r="C14" s="90" t="s">
        <v>50</v>
      </c>
      <c r="D14" s="90"/>
      <c r="E14" s="79" cm="1">
        <f t="array" ref="E14">SUMPRODUCT((DREAMH!$D$2:$D$766="Liên minh hạnh phúc")*(DREAMH!$B$2:$B$766="F3. Bảng hỏi sàng lọc sức khoẻ tâm thần (QST)")*(DREAMH!$C$2:$C$766=1))</f>
        <v>88</v>
      </c>
      <c r="F14" s="79" cm="1">
        <f t="array" ref="F14">SUMPRODUCT((DREAMH!$D$2:$D$766="Liên minh hạnh phúc")*(DREAMH!$B$2:$B$766="F3. Bảng hỏi sàng lọc sức khoẻ tâm thần (QST)")*(DREAMH!$C$2:$C$766=1)*(INDEX(DREAMH!$K$2:$K$766,MATCH(DREAMH!$A$2:$A$766,DREAMH!$A$2:$A$766,0))="Người sử dụng ma túy (PUD)"))</f>
        <v>43</v>
      </c>
      <c r="G14" s="79" cm="1">
        <f t="array" ref="G14">SUMPRODUCT((DREAMH!$D$2:$D$766="Liên minh hạnh phúc")*(DREAMH!$B$2:$B$766="F3. Bảng hỏi sàng lọc sức khoẻ tâm thần (QST)")*(DREAMH!$C$2:$C$766=1)*(INDEX(DREAMH!$K$2:$K$766,MATCH(DREAMH!$A$2:$A$766,DREAMH!$A$2:$A$766,0))="Người sống chung với HIV (PLHIV)"))</f>
        <v>0</v>
      </c>
      <c r="H14" s="79" cm="1">
        <f t="array" ref="H14">SUMPRODUCT((DREAMH!$D$2:$D$766="Liên minh hạnh phúc")*(DREAMH!$B$2:$B$766="F3. Bảng hỏi sàng lọc sức khoẻ tâm thần (QST)")*(DREAMH!$C$2:$C$766=1)*(INDEX(DREAMH!$K$2:$K$766,MATCH(DREAMH!$A$2:$A$766,DREAMH!$A$2:$A$766,0))="Người chuyển giới (TG)"))</f>
        <v>0</v>
      </c>
      <c r="I14" s="78" cm="1">
        <f t="array" ref="I14">SUMPRODUCT((DREAMH!$D$2:$D$766="Liên minh hạnh phúc")*(DREAMH!$B$2:$B$766="F3. Bảng hỏi sàng lọc sức khoẻ tâm thần (QST)")*(DREAMH!$C$2:$C$766=1)*(INDEX(DREAMH!$K$2:$K$766,MATCH(DREAMH!$A$2:$A$766,DREAMH!$A$2:$A$766,0))="Người bán dâm (SW)"))</f>
        <v>21</v>
      </c>
      <c r="J14" s="78" cm="1">
        <f t="array" ref="J14">SUMPRODUCT((DREAMH!$D$2:$D$766="Liên minh hạnh phúc")*(DREAMH!$B$2:$B$766="F3. Bảng hỏi sàng lọc sức khoẻ tâm thần (QST)")*(DREAMH!$C$2:$C$766=1)*(INDEX(DREAMH!$K$2:$K$766,MATCH(DREAMH!$A$2:$A$766,DREAMH!$A$2:$A$766,0))="Nam quan hệ tình dục đồng giới (MSM)"))</f>
        <v>24</v>
      </c>
      <c r="K14" s="37" t="s">
        <v>35</v>
      </c>
      <c r="L14" s="37" t="s">
        <v>35</v>
      </c>
      <c r="M14" s="37" t="s">
        <v>35</v>
      </c>
      <c r="N14" s="37" t="s">
        <v>35</v>
      </c>
      <c r="O14" s="42"/>
      <c r="P14" s="31"/>
    </row>
    <row r="15" spans="2:16" s="8" customFormat="1" ht="18" customHeight="1" x14ac:dyDescent="0.3">
      <c r="B15" s="20"/>
      <c r="C15" s="43" t="s">
        <v>51</v>
      </c>
      <c r="D15" s="44" t="s">
        <v>52</v>
      </c>
      <c r="E15" s="79" cm="1">
        <f t="array" ref="E15">SUMPRODUCT((DREAMH!$D$2:$D$766="Liên minh hạnh phúc")*(DREAMH!$B$2:$B$766="F3. Bảng hỏi sàng lọc sức khoẻ tâm thần (QST)")*(DREAMH!$C$2:$C$766=1)*(DREAMH!$BC$2:$BC$766&gt;=8))</f>
        <v>33</v>
      </c>
      <c r="F15" s="79" cm="1">
        <f t="array" ref="F15">SUMPRODUCT((DREAMH!$D$2:$D$766="Liên minh hạnh phúc")*(DREAMH!$B$2:$B$766="F3. Bảng hỏi sàng lọc sức khoẻ tâm thần (QST)")*(DREAMH!$C$2:$C$766=1)*(DREAMH!$BC$2:$BC$766&gt;=8)*(INDEX(DREAMH!$K$2:$K$766,MATCH(DREAMH!$A$2:$A$766,DREAMH!$A$2:$A$766,0))="Người sử dụng ma túy (PUD)"))</f>
        <v>9</v>
      </c>
      <c r="G15" s="79" cm="1">
        <f t="array" ref="G15">SUMPRODUCT((DREAMH!$D$2:$D$766="Liên minh hạnh phúc")*(DREAMH!$B$2:$B$766="F3. Bảng hỏi sàng lọc sức khoẻ tâm thần (QST)")*(DREAMH!$C$2:$C$766=1)*(DREAMH!$BC$2:$BC$766&gt;=8)*(INDEX(DREAMH!$K$2:$K$766,MATCH(DREAMH!$A$2:$A$766,DREAMH!$A$2:$A$766,0))="Người sống chung với HIV (PLHIV)"))</f>
        <v>0</v>
      </c>
      <c r="H15" s="79" cm="1">
        <f t="array" ref="H15">SUMPRODUCT((DREAMH!$D$2:$D$766="Liên minh hạnh phúc")*(DREAMH!$B$2:$B$766="F3. Bảng hỏi sàng lọc sức khoẻ tâm thần (QST)")*(DREAMH!$C$2:$C$766=1)*(DREAMH!$BC$2:$BC$766&gt;=8)*(INDEX(DREAMH!$K$2:$K$766,MATCH(DREAMH!$A$2:$A$766,DREAMH!$A$2:$A$766,0))="Người chuyển giới (TG)"))</f>
        <v>0</v>
      </c>
      <c r="I15" s="78" cm="1">
        <f t="array" ref="I15">SUMPRODUCT((DREAMH!$D$2:$D$766="Liên minh hạnh phúc")*(DREAMH!$B$2:$B$766="F3. Bảng hỏi sàng lọc sức khoẻ tâm thần (QST)")*(DREAMH!$C$2:$C$766=1)*(DREAMH!$BC$2:$BC$766&gt;=8)*(INDEX(DREAMH!$K$2:$K$766,MATCH(DREAMH!$A$2:$A$766,DREAMH!$A$2:$A$766,0))="Người bán dâm (SW)"))</f>
        <v>10</v>
      </c>
      <c r="J15" s="78" cm="1">
        <f t="array" ref="J15">SUMPRODUCT((DREAMH!$D$2:$D$766="Liên minh hạnh phúc")*(DREAMH!$B$2:$B$766="F3. Bảng hỏi sàng lọc sức khoẻ tâm thần (QST)")*(DREAMH!$C$2:$C$766=1)*(DREAMH!$BC$2:$BC$766&gt;=8)*(INDEX(DREAMH!$K$2:$K$766,MATCH(DREAMH!$A$2:$A$766,DREAMH!$A$2:$A$766,0))="Nam quan hệ tình dục đồng giới (MSM)"))</f>
        <v>14</v>
      </c>
      <c r="K15" s="37" t="s">
        <v>35</v>
      </c>
      <c r="L15" s="37" t="s">
        <v>35</v>
      </c>
      <c r="M15" s="37" t="s">
        <v>35</v>
      </c>
      <c r="N15" s="37" t="s">
        <v>35</v>
      </c>
      <c r="O15" s="42"/>
      <c r="P15" s="31"/>
    </row>
    <row r="16" spans="2:16" s="8" customFormat="1" ht="18" customHeight="1" x14ac:dyDescent="0.3">
      <c r="B16" s="20"/>
      <c r="C16" s="43"/>
      <c r="D16" s="44" t="s">
        <v>53</v>
      </c>
      <c r="E16" s="79" cm="1">
        <f t="array" ref="E16">SUMPRODUCT((DREAMH!$D$2:$D$766="Liên minh hạnh phúc")*(DREAMH!$B$2:$B$766="F3. Bảng hỏi sàng lọc sức khoẻ tâm thần (QST)")*(DREAMH!$C$2:$C$766=1)*(DREAMH!$BC$2:$BC$766&gt;=6)*(DREAMH!$BC$2:$BC$766&lt;=7))</f>
        <v>11</v>
      </c>
      <c r="F16" s="79" cm="1">
        <f t="array" ref="F16">SUMPRODUCT((DREAMH!$D$2:$D$766="Liên minh hạnh phúc")*(DREAMH!$B$2:$B$766="F3. Bảng hỏi sàng lọc sức khoẻ tâm thần (QST)")*(DREAMH!$C$2:$C$766=1)*(DREAMH!$BC$2:$BC$766&gt;=6)*(DREAMH!$BC$2:$BC$766&lt;=7)*(INDEX(DREAMH!$K$2:$K$766,MATCH(DREAMH!$A$2:$A$766,DREAMH!$A$2:$A$766,0))="Người sử dụng ma túy (PUD)"))</f>
        <v>1</v>
      </c>
      <c r="G16" s="79" cm="1">
        <f t="array" ref="G16">SUMPRODUCT((DREAMH!$D$2:$D$766="Liên minh hạnh phúc")*(DREAMH!$B$2:$B$766="F3. Bảng hỏi sàng lọc sức khoẻ tâm thần (QST)")*(DREAMH!$C$2:$C$766=1)*(DREAMH!$BC$2:$BC$766&gt;=6)*(DREAMH!$BC$2:$BC$766&lt;=7)*(INDEX(DREAMH!$K$2:$K$766,MATCH(DREAMH!$A$2:$A$766,DREAMH!$A$2:$A$766,0))="Người sống chung với HIV (PLHIV)"))</f>
        <v>0</v>
      </c>
      <c r="H16" s="79" cm="1">
        <f t="array" ref="H16">SUMPRODUCT((DREAMH!$D$2:$D$766="Liên minh hạnh phúc")*(DREAMH!$B$2:$B$766="F3. Bảng hỏi sàng lọc sức khoẻ tâm thần (QST)")*(DREAMH!$C$2:$C$766=1)*(DREAMH!$BC$2:$BC$766&gt;=6)*(DREAMH!$BC$2:$BC$766&lt;=7)*(INDEX(DREAMH!$K$2:$K$766,MATCH(DREAMH!$A$2:$A$766,DREAMH!$A$2:$A$766,0))="Người chuyển giới (TG)"))</f>
        <v>0</v>
      </c>
      <c r="I16" s="78" cm="1">
        <f t="array" ref="I16">SUMPRODUCT((DREAMH!$D$2:$D$766="Liên minh hạnh phúc")*(DREAMH!$B$2:$B$766="F3. Bảng hỏi sàng lọc sức khoẻ tâm thần (QST)")*(DREAMH!$C$2:$C$766=1)*(DREAMH!$BC$2:$BC$766&gt;=6)*(DREAMH!$BC$2:$BC$766&lt;=7)*(INDEX(DREAMH!$K$2:$K$766,MATCH(DREAMH!$A$2:$A$766,DREAMH!$A$2:$A$766,0))="Người bán dâm (SW)"))</f>
        <v>6</v>
      </c>
      <c r="J16" s="78" cm="1">
        <f t="array" ref="J16">SUMPRODUCT((DREAMH!$D$2:$D$766="Liên minh hạnh phúc")*(DREAMH!$B$2:$B$766="F3. Bảng hỏi sàng lọc sức khoẻ tâm thần (QST)")*(DREAMH!$C$2:$C$766=1)*(DREAMH!$BC$2:$BC$766&gt;=6)*(DREAMH!$BC$2:$BC$766&lt;=7)*(INDEX(DREAMH!$K$2:$K$766,MATCH(DREAMH!$A$2:$A$766,DREAMH!$A$2:$A$766,0))="Nam quan hệ tình dục đồng giới (MSM)"))</f>
        <v>4</v>
      </c>
      <c r="K16" s="37" t="s">
        <v>35</v>
      </c>
      <c r="L16" s="37" t="s">
        <v>35</v>
      </c>
      <c r="M16" s="37" t="s">
        <v>35</v>
      </c>
      <c r="N16" s="37" t="s">
        <v>35</v>
      </c>
      <c r="O16" s="42"/>
      <c r="P16" s="31"/>
    </row>
    <row r="17" spans="2:16" s="8" customFormat="1" ht="18" customHeight="1" x14ac:dyDescent="0.3">
      <c r="B17" s="20"/>
      <c r="C17" s="43"/>
      <c r="D17" s="44" t="s">
        <v>54</v>
      </c>
      <c r="E17" s="79" cm="1">
        <f t="array" ref="E17">SUMPRODUCT((DREAMH!$D$2:$D$766="Liên minh hạnh phúc")*(DREAMH!$B$2:$B$766="F3. Bảng hỏi sàng lọc sức khoẻ tâm thần (QST)")*(DREAMH!$C$2:$C$766=1)*(DREAMH!$BC$2:$BC$766&gt;=4)*(DREAMH!$BC$2:$BC$766&lt;=5))</f>
        <v>24</v>
      </c>
      <c r="F17" s="79" cm="1">
        <f t="array" ref="F17">SUMPRODUCT((DREAMH!$D$2:$D$766="Liên minh hạnh phúc")*(DREAMH!$B$2:$B$766="F3. Bảng hỏi sàng lọc sức khoẻ tâm thần (QST)")*(DREAMH!$C$2:$C$766=1)*(DREAMH!$BC$2:$BC$766&gt;=4)*(DREAMH!$BC$2:$BC$766&lt;=5)*(INDEX(DREAMH!$K$2:$K$766,MATCH(DREAMH!$A$2:$A$766,DREAMH!$A$2:$A$766,0))="Người sử dụng ma túy (PUD)"))</f>
        <v>13</v>
      </c>
      <c r="G17" s="79" cm="1">
        <f t="array" ref="G17">SUMPRODUCT((DREAMH!$D$2:$D$766="Liên minh hạnh phúc")*(DREAMH!$B$2:$B$766="F3. Bảng hỏi sàng lọc sức khoẻ tâm thần (QST)")*(DREAMH!$C$2:$C$766=1)*(DREAMH!$BC$2:$BC$766&gt;=4)*(DREAMH!$BC$2:$BC$766&lt;=5)*(INDEX(DREAMH!$K$2:$K$766,MATCH(DREAMH!$A$2:$A$766,DREAMH!$A$2:$A$766,0))="Người sống chung với HIV (PLHIV)"))</f>
        <v>0</v>
      </c>
      <c r="H17" s="79" cm="1">
        <f t="array" ref="H17">SUMPRODUCT((DREAMH!$D$2:$D$766="Liên minh hạnh phúc")*(DREAMH!$B$2:$B$766="F3. Bảng hỏi sàng lọc sức khoẻ tâm thần (QST)")*(DREAMH!$C$2:$C$766=1)*(DREAMH!$BC$2:$BC$766&gt;=4)*(DREAMH!$BC$2:$BC$766&lt;=5)*(INDEX(DREAMH!$K$2:$K$766,MATCH(DREAMH!$A$2:$A$766,DREAMH!$A$2:$A$766,0))="Người chuyển giới (TG)"))</f>
        <v>0</v>
      </c>
      <c r="I17" s="78" cm="1">
        <f t="array" ref="I17">SUMPRODUCT((DREAMH!$D$2:$D$766="Liên minh hạnh phúc")*(DREAMH!$B$2:$B$766="F3. Bảng hỏi sàng lọc sức khoẻ tâm thần (QST)")*(DREAMH!$C$2:$C$766=1)*(DREAMH!$BC$2:$BC$766&gt;=4)*(DREAMH!$BC$2:$BC$766&lt;=5)*(INDEX(DREAMH!$K$2:$K$766,MATCH(DREAMH!$A$2:$A$766,DREAMH!$A$2:$A$766,0))="Người bán dâm (SW)"))</f>
        <v>5</v>
      </c>
      <c r="J17" s="78" cm="1">
        <f t="array" ref="J17">SUMPRODUCT((DREAMH!$D$2:$D$766="Liên minh hạnh phúc")*(DREAMH!$B$2:$B$766="F3. Bảng hỏi sàng lọc sức khoẻ tâm thần (QST)")*(DREAMH!$C$2:$C$766=1)*(DREAMH!$BC$2:$BC$766&gt;=4)*(DREAMH!$BC$2:$BC$766&lt;=5)*(INDEX(DREAMH!$K$2:$K$766,MATCH(DREAMH!$A$2:$A$766,DREAMH!$A$2:$A$766,0))="Nam quan hệ tình dục đồng giới (MSM)"))</f>
        <v>6</v>
      </c>
      <c r="K17" s="37" t="s">
        <v>35</v>
      </c>
      <c r="L17" s="37" t="s">
        <v>35</v>
      </c>
      <c r="M17" s="37" t="s">
        <v>35</v>
      </c>
      <c r="N17" s="37" t="s">
        <v>35</v>
      </c>
      <c r="O17" s="42"/>
      <c r="P17" s="31"/>
    </row>
    <row r="18" spans="2:16" s="8" customFormat="1" ht="18" customHeight="1" x14ac:dyDescent="0.3">
      <c r="B18" s="20"/>
      <c r="C18" s="43"/>
      <c r="D18" s="44" t="s">
        <v>55</v>
      </c>
      <c r="E18" s="79" cm="1">
        <f t="array" ref="E18">SUMPRODUCT((DREAMH!$D$2:$D$766="Liên minh hạnh phúc")*(DREAMH!$B$2:$B$766="F3. Bảng hỏi sàng lọc sức khoẻ tâm thần (QST)")*(DREAMH!$C$2:$C$766=1)*(DREAMH!$BC$2:$BC$766&lt;4))</f>
        <v>20</v>
      </c>
      <c r="F18" s="79" cm="1">
        <f t="array" ref="F18">SUMPRODUCT((DREAMH!$D$2:$D$766="Liên minh hạnh phúc")*(DREAMH!$B$2:$B$766="F3. Bảng hỏi sàng lọc sức khoẻ tâm thần (QST)")*(DREAMH!$C$2:$C$766=1)*(DREAMH!$BC$2:$BC$766&lt;4)*(INDEX(DREAMH!$K$2:$K$766,MATCH(DREAMH!$A$2:$A$766,DREAMH!$A$2:$A$766,0))="Người sử dụng ma túy (PUD)"))</f>
        <v>20</v>
      </c>
      <c r="G18" s="79" cm="1">
        <f t="array" ref="G18">SUMPRODUCT((DREAMH!$D$2:$D$766="Liên minh hạnh phúc")*(DREAMH!$B$2:$B$766="F3. Bảng hỏi sàng lọc sức khoẻ tâm thần (QST)")*(DREAMH!$C$2:$C$766=1)*(DREAMH!$BC$2:$BC$766&lt;4)*(INDEX(DREAMH!$K$2:$K$766,MATCH(DREAMH!$A$2:$A$766,DREAMH!$A$2:$A$766,0))="Người sống chung với HIV (PLHIV)"))</f>
        <v>0</v>
      </c>
      <c r="H18" s="79" cm="1">
        <f t="array" ref="H18">SUMPRODUCT((DREAMH!$D$2:$D$766="Liên minh hạnh phúc")*(DREAMH!$B$2:$B$766="F3. Bảng hỏi sàng lọc sức khoẻ tâm thần (QST)")*(DREAMH!$C$2:$C$766=1)*(DREAMH!$BC$2:$BC$766&lt;4)*(INDEX(DREAMH!$K$2:$K$766,MATCH(DREAMH!$A$2:$A$766,DREAMH!$A$2:$A$766,0))="Người chuyển giới (TG)"))</f>
        <v>0</v>
      </c>
      <c r="I18" s="78" cm="1">
        <f t="array" ref="I18">SUMPRODUCT((DREAMH!$D$2:$D$766="Liên minh hạnh phúc")*(DREAMH!$B$2:$B$766="F3. Bảng hỏi sàng lọc sức khoẻ tâm thần (QST)")*(DREAMH!$C$2:$C$766=1)*(DREAMH!$BC$2:$BC$766&lt;4)*(INDEX(DREAMH!$K$2:$K$766,MATCH(DREAMH!$A$2:$A$766,DREAMH!$A$2:$A$766,0))="Người bán dâm (SW)"))</f>
        <v>0</v>
      </c>
      <c r="J18" s="78" cm="1">
        <f t="array" ref="J18">SUMPRODUCT((DREAMH!$D$2:$D$766="Liên minh hạnh phúc")*(DREAMH!$B$2:$B$766="F3. Bảng hỏi sàng lọc sức khoẻ tâm thần (QST)")*(DREAMH!$C$2:$C$766=1)*(DREAMH!$BC$2:$BC$766&lt;4)*(INDEX(DREAMH!$K$2:$K$766,MATCH(DREAMH!$A$2:$A$766,DREAMH!$A$2:$A$766,0))="Nam quan hệ tình dục đồng giới (MSM)"))</f>
        <v>0</v>
      </c>
      <c r="K18" s="37" t="s">
        <v>35</v>
      </c>
      <c r="L18" s="37" t="s">
        <v>35</v>
      </c>
      <c r="M18" s="37" t="s">
        <v>35</v>
      </c>
      <c r="N18" s="37" t="s">
        <v>35</v>
      </c>
      <c r="O18" s="42"/>
      <c r="P18" s="31"/>
    </row>
    <row r="19" spans="2:16" s="8" customFormat="1" ht="18" customHeight="1" x14ac:dyDescent="0.25">
      <c r="B19" s="39">
        <v>2</v>
      </c>
      <c r="C19" s="90" t="s">
        <v>56</v>
      </c>
      <c r="D19" s="90"/>
      <c r="E19" s="79" cm="1">
        <f t="array" ref="E19">SUMPRODUCT((DREAMH!$D$2:$D$766="Liên minh hạnh phúc")*(DREAMH!$B$2:$B$766="F3. Bảng hỏi sàng lọc sức khoẻ tâm thần (QST)")*(DREAMH!$C$2:$C$766&gt;=2))</f>
        <v>0</v>
      </c>
      <c r="F19" s="79" cm="1">
        <f t="array" ref="F19">SUMPRODUCT((DREAMH!$D$2:$D$766="Liên minh hạnh phúc")*(DREAMH!$B$2:$B$766="F3. Bảng hỏi sàng lọc sức khoẻ tâm thần (QST)")*(DREAMH!$C$2:$C$766&gt;=2)*(INDEX(DREAMH!$K$2:$K$766,MATCH(DREAMH!$A$2:$A$766,DREAMH!$A$2:$A$766,0))="Người sử dụng ma túy (PUD)"))</f>
        <v>0</v>
      </c>
      <c r="G19" s="79" cm="1">
        <f t="array" ref="G19">SUMPRODUCT((DREAMH!$D$2:$D$766="Liên minh hạnh phúc")*(DREAMH!$B$2:$B$766="F3. Bảng hỏi sàng lọc sức khoẻ tâm thần (QST)")*(DREAMH!$C$2:$C$766&gt;=2)*(INDEX(DREAMH!$K$2:$K$766,MATCH(DREAMH!$A$2:$A$766,DREAMH!$A$2:$A$766,0))="Người sống chung với HIV (PLHIV)"))</f>
        <v>0</v>
      </c>
      <c r="H19" s="79" cm="1">
        <f t="array" ref="H19">SUMPRODUCT((DREAMH!$D$2:$D$766="Liên minh hạnh phúc")*(DREAMH!$B$2:$B$766="F3. Bảng hỏi sàng lọc sức khoẻ tâm thần (QST)")*(DREAMH!$C$2:$C$766&gt;=2)*(INDEX(DREAMH!$K$2:$K$766,MATCH(DREAMH!$A$2:$A$766,DREAMH!$A$2:$A$766,0))="Người chuyển giới (TG)"))</f>
        <v>0</v>
      </c>
      <c r="I19" s="78" cm="1">
        <f t="array" ref="I19">SUMPRODUCT((DREAMH!$D$2:$D$766="Liên minh hạnh phúc")*(DREAMH!$B$2:$B$766="F3. Bảng hỏi sàng lọc sức khoẻ tâm thần (QST)")*(DREAMH!$C$2:$C$766&gt;=2)*(INDEX(DREAMH!$K$2:$K$766,MATCH(DREAMH!$A$2:$A$766,DREAMH!$A$2:$A$766,0))="Người bán dâm (SW)"))</f>
        <v>0</v>
      </c>
      <c r="J19" s="78" cm="1">
        <f t="array" ref="J19">SUMPRODUCT((DREAMH!$D$2:$D$766="Liên minh hạnh phúc")*(DREAMH!$B$2:$B$766="F3. Bảng hỏi sàng lọc sức khoẻ tâm thần (QST)")*(DREAMH!$C$2:$C$766&gt;=2)*(INDEX(DREAMH!$K$2:$K$766,MATCH(DREAMH!$A$2:$A$766,DREAMH!$A$2:$A$766,0))="Nam quan hệ tình dục đồng giới (MSM)"))</f>
        <v>0</v>
      </c>
      <c r="K19" s="37" t="s">
        <v>35</v>
      </c>
      <c r="L19" s="37" t="s">
        <v>35</v>
      </c>
      <c r="M19" s="37" t="s">
        <v>35</v>
      </c>
      <c r="N19" s="37" t="s">
        <v>35</v>
      </c>
      <c r="O19" s="35" t="s">
        <v>57</v>
      </c>
      <c r="P19" s="31"/>
    </row>
    <row r="20" spans="2:16" s="8" customFormat="1" ht="18" customHeight="1" x14ac:dyDescent="0.3">
      <c r="B20" s="20"/>
      <c r="C20" s="43" t="s">
        <v>58</v>
      </c>
      <c r="D20" s="44" t="s">
        <v>52</v>
      </c>
      <c r="E20" s="79" cm="1">
        <f t="array" ref="E20">SUMPRODUCT((DREAMH!$D$2:$D$766="Liên minh hạnh phúc")*(DREAMH!$B$2:$B$766="F3. Bảng hỏi sàng lọc sức khoẻ tâm thần (QST)")*(DREAMH!$C$2:$C$766&gt;=2)*(DREAMH!$BC$2:$BC$766&gt;=8))</f>
        <v>0</v>
      </c>
      <c r="F20" s="79" cm="1">
        <f t="array" ref="F20">SUMPRODUCT((DREAMH!$D$2:$D$766="Liên minh hạnh phúc")*(DREAMH!$B$2:$B$766="F3. Bảng hỏi sàng lọc sức khoẻ tâm thần (QST)")*(DREAMH!$C$2:$C$766&gt;=2)*(DREAMH!$BC$2:$BC$766&gt;=8)*(INDEX(DREAMH!$K$2:$K$766,MATCH(DREAMH!$A$2:$A$766,DREAMH!$A$2:$A$766,0))="Người sử dụng ma túy (PUD)"))</f>
        <v>0</v>
      </c>
      <c r="G20" s="79" cm="1">
        <f t="array" ref="G20">SUMPRODUCT((DREAMH!$D$2:$D$766="Liên minh hạnh phúc")*(DREAMH!$B$2:$B$766="F3. Bảng hỏi sàng lọc sức khoẻ tâm thần (QST)")*(DREAMH!$C$2:$C$766&gt;=2)*(DREAMH!$BC$2:$BC$766&gt;=8)*(INDEX(DREAMH!$K$2:$K$766,MATCH(DREAMH!$A$2:$A$766,DREAMH!$A$2:$A$766,0))="Người sống chung với HIV (PLHIV)"))</f>
        <v>0</v>
      </c>
      <c r="H20" s="79" cm="1">
        <f t="array" ref="H20">SUMPRODUCT((DREAMH!$D$2:$D$766="Liên minh hạnh phúc")*(DREAMH!$B$2:$B$766="F3. Bảng hỏi sàng lọc sức khoẻ tâm thần (QST)")*(DREAMH!$C$2:$C$766&gt;=2)*(DREAMH!$BC$2:$BC$766&gt;=8)*(INDEX(DREAMH!$K$2:$K$766,MATCH(DREAMH!$A$2:$A$766,DREAMH!$A$2:$A$766,0))="Người chuyển giới (TG)"))</f>
        <v>0</v>
      </c>
      <c r="I20" s="78" cm="1">
        <f t="array" ref="I20">SUMPRODUCT((DREAMH!$D$2:$D$766="Liên minh hạnh phúc")*(DREAMH!$B$2:$B$766="F3. Bảng hỏi sàng lọc sức khoẻ tâm thần (QST)")*(DREAMH!$C$2:$C$766&gt;=2)*(DREAMH!$BC$2:$BC$766&gt;=8)*(INDEX(DREAMH!$K$2:$K$766,MATCH(DREAMH!$A$2:$A$766,DREAMH!$A$2:$A$766,0))="Người bán dâm (SW)"))</f>
        <v>0</v>
      </c>
      <c r="J20" s="78" cm="1">
        <f t="array" ref="J20">SUMPRODUCT((DREAMH!$D$2:$D$766="Liên minh hạnh phúc")*(DREAMH!$B$2:$B$766="F3. Bảng hỏi sàng lọc sức khoẻ tâm thần (QST)")*(DREAMH!$C$2:$C$766&gt;=2)*(DREAMH!$BC$2:$BC$766&gt;=8)*(INDEX(DREAMH!$K$2:$K$766,MATCH(DREAMH!$A$2:$A$766,DREAMH!$A$2:$A$766,0))="Nam quan hệ tình dục đồng giới (MSM)"))</f>
        <v>0</v>
      </c>
      <c r="K20" s="37" t="s">
        <v>35</v>
      </c>
      <c r="L20" s="37" t="s">
        <v>35</v>
      </c>
      <c r="M20" s="37" t="s">
        <v>35</v>
      </c>
      <c r="N20" s="37" t="s">
        <v>35</v>
      </c>
      <c r="O20" s="42"/>
      <c r="P20" s="31"/>
    </row>
    <row r="21" spans="2:16" s="8" customFormat="1" ht="18" customHeight="1" x14ac:dyDescent="0.3">
      <c r="B21" s="20"/>
      <c r="C21" s="43"/>
      <c r="D21" s="44" t="s">
        <v>53</v>
      </c>
      <c r="E21" s="79" cm="1">
        <f t="array" ref="E21">SUMPRODUCT((DREAMH!$D$2:$D$766="Liên minh hạnh phúc")*(DREAMH!$B$2:$B$766="F3. Bảng hỏi sàng lọc sức khoẻ tâm thần (QST)")*(DREAMH!$C$2:$C$766&gt;=2)*(DREAMH!$BC$2:$BC$766&gt;=6)*(DREAMH!$BC$2:$BC$766&lt;=7))</f>
        <v>0</v>
      </c>
      <c r="F21" s="79" cm="1">
        <f t="array" ref="F21">SUMPRODUCT((DREAMH!$D$2:$D$766="Liên minh hạnh phúc")*(DREAMH!$B$2:$B$766="F3. Bảng hỏi sàng lọc sức khoẻ tâm thần (QST)")*(DREAMH!$C$2:$C$766&gt;=2)*(DREAMH!$BC$2:$BC$766&gt;=6)*(DREAMH!$BC$2:$BC$766&lt;=7)*(INDEX(DREAMH!$K$2:$K$766,MATCH(DREAMH!$A$2:$A$766,DREAMH!$A$2:$A$766,0))="Người sử dụng ma túy (PUD)"))</f>
        <v>0</v>
      </c>
      <c r="G21" s="79" cm="1">
        <f t="array" ref="G21">SUMPRODUCT((DREAMH!$D$2:$D$766="Liên minh hạnh phúc")*(DREAMH!$B$2:$B$766="F3. Bảng hỏi sàng lọc sức khoẻ tâm thần (QST)")*(DREAMH!$C$2:$C$766&gt;=2)*(DREAMH!$BC$2:$BC$766&gt;=6)*(DREAMH!$BC$2:$BC$766&lt;=7)*(INDEX(DREAMH!$K$2:$K$766,MATCH(DREAMH!$A$2:$A$766,DREAMH!$A$2:$A$766,0))="Người sống chung với HIV (PLHIV)"))</f>
        <v>0</v>
      </c>
      <c r="H21" s="79" cm="1">
        <f t="array" ref="H21">SUMPRODUCT((DREAMH!$D$2:$D$766="Liên minh hạnh phúc")*(DREAMH!$B$2:$B$766="F3. Bảng hỏi sàng lọc sức khoẻ tâm thần (QST)")*(DREAMH!$C$2:$C$766&gt;=2)*(DREAMH!$BC$2:$BC$766&gt;=6)*(DREAMH!$BC$2:$BC$766&lt;=7)*(INDEX(DREAMH!$K$2:$K$766,MATCH(DREAMH!$A$2:$A$766,DREAMH!$A$2:$A$766,0))="Người chuyển giới (TG)"))</f>
        <v>0</v>
      </c>
      <c r="I21" s="78" cm="1">
        <f t="array" ref="I21">SUMPRODUCT((DREAMH!$D$2:$D$766="Liên minh hạnh phúc")*(DREAMH!$B$2:$B$766="F3. Bảng hỏi sàng lọc sức khoẻ tâm thần (QST)")*(DREAMH!$C$2:$C$766&gt;=2)*(DREAMH!$BC$2:$BC$766&gt;=6)*(DREAMH!$BC$2:$BC$766&lt;=7)*(INDEX(DREAMH!$K$2:$K$766,MATCH(DREAMH!$A$2:$A$766,DREAMH!$A$2:$A$766,0))="Người bán dâm (SW)"))</f>
        <v>0</v>
      </c>
      <c r="J21" s="78" cm="1">
        <f t="array" ref="J21">SUMPRODUCT((DREAMH!$D$2:$D$766="Liên minh hạnh phúc")*(DREAMH!$B$2:$B$766="F3. Bảng hỏi sàng lọc sức khoẻ tâm thần (QST)")*(DREAMH!$C$2:$C$766&gt;=2)*(DREAMH!$BC$2:$BC$766&gt;=6)*(DREAMH!$BC$2:$BC$766&lt;=7)*(INDEX(DREAMH!$K$2:$K$766,MATCH(DREAMH!$A$2:$A$766,DREAMH!$A$2:$A$766,0))="Nam quan hệ tình dục đồng giới (MSM)"))</f>
        <v>0</v>
      </c>
      <c r="K21" s="37" t="s">
        <v>35</v>
      </c>
      <c r="L21" s="37" t="s">
        <v>35</v>
      </c>
      <c r="M21" s="37" t="s">
        <v>35</v>
      </c>
      <c r="N21" s="37" t="s">
        <v>35</v>
      </c>
      <c r="O21" s="42"/>
      <c r="P21" s="31"/>
    </row>
    <row r="22" spans="2:16" s="8" customFormat="1" ht="18" customHeight="1" x14ac:dyDescent="0.3">
      <c r="B22" s="20"/>
      <c r="C22" s="43"/>
      <c r="D22" s="44" t="s">
        <v>54</v>
      </c>
      <c r="E22" s="79" cm="1">
        <f t="array" ref="E22">SUMPRODUCT((DREAMH!$D$2:$D$766="Liên minh hạnh phúc")*(DREAMH!$B$2:$B$766="F3. Bảng hỏi sàng lọc sức khoẻ tâm thần (QST)")*(DREAMH!$C$2:$C$766&gt;=2)*(DREAMH!$BC$2:$BC$766&gt;=4)*(DREAMH!$BC$2:$BC$766&lt;=5))</f>
        <v>0</v>
      </c>
      <c r="F22" s="79" cm="1">
        <f t="array" ref="F22">SUMPRODUCT((DREAMH!$D$2:$D$766="Liên minh hạnh phúc")*(DREAMH!$B$2:$B$766="F3. Bảng hỏi sàng lọc sức khoẻ tâm thần (QST)")*(DREAMH!$C$2:$C$766&gt;=2)*(DREAMH!$BC$2:$BC$766&gt;=4)*(DREAMH!$BC$2:$BC$766&lt;=5)*(INDEX(DREAMH!$K$2:$K$766,MATCH(DREAMH!$A$2:$A$766,DREAMH!$A$2:$A$766,0))="Người sử dụng ma túy (PUD)"))</f>
        <v>0</v>
      </c>
      <c r="G22" s="79" cm="1">
        <f t="array" ref="G22">SUMPRODUCT((DREAMH!$D$2:$D$766="Liên minh hạnh phúc")*(DREAMH!$B$2:$B$766="F3. Bảng hỏi sàng lọc sức khoẻ tâm thần (QST)")*(DREAMH!$C$2:$C$766&gt;=2)*(DREAMH!$BC$2:$BC$766&gt;=4)*(DREAMH!$BC$2:$BC$766&lt;=5)*(INDEX(DREAMH!$K$2:$K$766,MATCH(DREAMH!$A$2:$A$766,DREAMH!$A$2:$A$766,0))="Người sống chung với HIV (PLHIV)"))</f>
        <v>0</v>
      </c>
      <c r="H22" s="79" cm="1">
        <f t="array" ref="H22">SUMPRODUCT((DREAMH!$D$2:$D$766="Liên minh hạnh phúc")*(DREAMH!$B$2:$B$766="F3. Bảng hỏi sàng lọc sức khoẻ tâm thần (QST)")*(DREAMH!$C$2:$C$766&gt;=2)*(DREAMH!$BC$2:$BC$766&gt;=4)*(DREAMH!$BC$2:$BC$766&lt;=5)*(INDEX(DREAMH!$K$2:$K$766,MATCH(DREAMH!$A$2:$A$766,DREAMH!$A$2:$A$766,0))="Người chuyển giới (TG)"))</f>
        <v>0</v>
      </c>
      <c r="I22" s="78" cm="1">
        <f t="array" ref="I22">SUMPRODUCT((DREAMH!$D$2:$D$766="Liên minh hạnh phúc")*(DREAMH!$B$2:$B$766="F3. Bảng hỏi sàng lọc sức khoẻ tâm thần (QST)")*(DREAMH!$C$2:$C$766&gt;=2)*(DREAMH!$BC$2:$BC$766&gt;=4)*(DREAMH!$BC$2:$BC$766&lt;=5)*(INDEX(DREAMH!$K$2:$K$766,MATCH(DREAMH!$A$2:$A$766,DREAMH!$A$2:$A$766,0))="Người bán dâm (SW)"))</f>
        <v>0</v>
      </c>
      <c r="J22" s="78" cm="1">
        <f t="array" ref="J22">SUMPRODUCT((DREAMH!$D$2:$D$766="Liên minh hạnh phúc")*(DREAMH!$B$2:$B$766="F3. Bảng hỏi sàng lọc sức khoẻ tâm thần (QST)")*(DREAMH!$C$2:$C$766&gt;=2)*(DREAMH!$BC$2:$BC$766&gt;=4)*(DREAMH!$BC$2:$BC$766&lt;=5)*(INDEX(DREAMH!$K$2:$K$766,MATCH(DREAMH!$A$2:$A$766,DREAMH!$A$2:$A$766,0))="Nam quan hệ tình dục đồng giới (MSM)"))</f>
        <v>0</v>
      </c>
      <c r="K22" s="37" t="s">
        <v>35</v>
      </c>
      <c r="L22" s="37" t="s">
        <v>35</v>
      </c>
      <c r="M22" s="37" t="s">
        <v>35</v>
      </c>
      <c r="N22" s="37" t="s">
        <v>35</v>
      </c>
      <c r="O22" s="42"/>
      <c r="P22" s="31"/>
    </row>
    <row r="23" spans="2:16" s="8" customFormat="1" ht="18" customHeight="1" x14ac:dyDescent="0.3">
      <c r="B23" s="20"/>
      <c r="C23" s="43"/>
      <c r="D23" s="44" t="s">
        <v>55</v>
      </c>
      <c r="E23" s="79" cm="1">
        <f t="array" ref="E23">SUMPRODUCT((DREAMH!$D$2:$D$766="Liên minh hạnh phúc")*(DREAMH!$B$2:$B$766="F3. Bảng hỏi sàng lọc sức khoẻ tâm thần (QST)")*(DREAMH!$C$2:$C$766&gt;=2)*(DREAMH!$BC$2:$BC$766&lt;4))</f>
        <v>0</v>
      </c>
      <c r="F23" s="79" cm="1">
        <f t="array" ref="F23">SUMPRODUCT((DREAMH!$D$2:$D$766="Liên minh hạnh phúc")*(DREAMH!$B$2:$B$766="F3. Bảng hỏi sàng lọc sức khoẻ tâm thần (QST)")*(DREAMH!$C$2:$C$766&gt;=2)*(DREAMH!$BC$2:$BC$766&lt;4)*(INDEX(DREAMH!$K$2:$K$766,MATCH(DREAMH!$A$2:$A$766,DREAMH!$A$2:$A$766,0))="Người sử dụng ma túy (PUD)"))</f>
        <v>0</v>
      </c>
      <c r="G23" s="79" cm="1">
        <f t="array" ref="G23">SUMPRODUCT((DREAMH!$D$2:$D$766="Liên minh hạnh phúc")*(DREAMH!$B$2:$B$766="F3. Bảng hỏi sàng lọc sức khoẻ tâm thần (QST)")*(DREAMH!$C$2:$C$766&gt;=2)*(DREAMH!$BC$2:$BC$766&lt;4)*(INDEX(DREAMH!$K$2:$K$766,MATCH(DREAMH!$A$2:$A$766,DREAMH!$A$2:$A$766,0))="Người sống chung với HIV (PLHIV)"))</f>
        <v>0</v>
      </c>
      <c r="H23" s="79" cm="1">
        <f t="array" ref="H23">SUMPRODUCT((DREAMH!$D$2:$D$766="Liên minh hạnh phúc")*(DREAMH!$B$2:$B$766="F3. Bảng hỏi sàng lọc sức khoẻ tâm thần (QST)")*(DREAMH!$C$2:$C$766&gt;=2)*(DREAMH!$BC$2:$BC$766&lt;4)*(INDEX(DREAMH!$K$2:$K$766,MATCH(DREAMH!$A$2:$A$766,DREAMH!$A$2:$A$766,0))="Người chuyển giới (TG)"))</f>
        <v>0</v>
      </c>
      <c r="I23" s="78" cm="1">
        <f t="array" ref="I23">SUMPRODUCT((DREAMH!$D$2:$D$766="Liên minh hạnh phúc")*(DREAMH!$B$2:$B$766="F3. Bảng hỏi sàng lọc sức khoẻ tâm thần (QST)")*(DREAMH!$C$2:$C$766&gt;=2)*(DREAMH!$BC$2:$BC$766&lt;4)*(INDEX(DREAMH!$K$2:$K$766,MATCH(DREAMH!$A$2:$A$766,DREAMH!$A$2:$A$766,0))="Người bán dâm (SW)"))</f>
        <v>0</v>
      </c>
      <c r="J23" s="78" cm="1">
        <f t="array" ref="J23">SUMPRODUCT((DREAMH!$D$2:$D$766="Liên minh hạnh phúc")*(DREAMH!$B$2:$B$766="F3. Bảng hỏi sàng lọc sức khoẻ tâm thần (QST)")*(DREAMH!$C$2:$C$766&gt;=2)*(DREAMH!$BC$2:$BC$766&lt;4)*(INDEX(DREAMH!$K$2:$K$766,MATCH(DREAMH!$A$2:$A$766,DREAMH!$A$2:$A$766,0))="Nam quan hệ tình dục đồng giới (MSM)"))</f>
        <v>0</v>
      </c>
      <c r="K23" s="37" t="s">
        <v>35</v>
      </c>
      <c r="L23" s="37" t="s">
        <v>35</v>
      </c>
      <c r="M23" s="37" t="s">
        <v>35</v>
      </c>
      <c r="N23" s="37" t="s">
        <v>35</v>
      </c>
      <c r="O23" s="42"/>
      <c r="P23" s="31"/>
    </row>
    <row r="24" spans="2:16" s="8" customFormat="1" ht="18" customHeight="1" x14ac:dyDescent="0.3">
      <c r="B24" s="39">
        <v>3</v>
      </c>
      <c r="C24" s="45" t="s">
        <v>59</v>
      </c>
      <c r="D24" s="44"/>
      <c r="E24" s="79" cm="1">
        <f t="array" ref="E24">SUMPRODUCT((DREAMH!$D$2:$D$766="Liên minh hạnh phúc")*(DREAMH!$B$2:$B$766="F6. Thông tin chẩn đoán và điều trị"))</f>
        <v>0</v>
      </c>
      <c r="F24" s="79" cm="1">
        <f t="array" ref="F24">SUMPRODUCT((DREAMH!$D$2:$D$766="Liên minh hạnh phúc")*(DREAMH!$B$2:$B$766="F6. Thông tin chẩn đoán và điều trị")*(INDEX(DREAMH!$K$2:$K$766,MATCH(DREAMH!$A$2:$A$766,DREAMH!$A$2:$A$766,0))="Người sử dụng ma túy (PUD)"))</f>
        <v>0</v>
      </c>
      <c r="G24" s="79" cm="1">
        <f t="array" ref="G24">SUMPRODUCT((DREAMH!$D$2:$D$766="Liên minh hạnh phúc")*(DREAMH!$B$2:$B$766="F6. Thông tin chẩn đoán và điều trị")*(INDEX(DREAMH!$K$2:$K$766,MATCH(DREAMH!$A$2:$A$766,DREAMH!$A$2:$A$766,0))="Người sống chung với HIV (PLHIV)"))</f>
        <v>0</v>
      </c>
      <c r="H24" s="79" cm="1">
        <f t="array" ref="H24">SUMPRODUCT((DREAMH!$D$2:$D$766="Liên minh hạnh phúc")*(DREAMH!$B$2:$B$766="F6. Thông tin chẩn đoán và điều trị")*(INDEX(DREAMH!$K$2:$K$766,MATCH(DREAMH!$A$2:$A$766,DREAMH!$A$2:$A$766,0))="Người chuyển giới (TG)"))</f>
        <v>0</v>
      </c>
      <c r="I24" s="78" cm="1">
        <f t="array" ref="I24">SUMPRODUCT((DREAMH!$D$2:$D$766="Liên minh hạnh phúc")*(DREAMH!$B$2:$B$766="F6. Thông tin chẩn đoán và điều trị")*(INDEX(DREAMH!$K$2:$K$766,MATCH(DREAMH!$A$2:$A$766,DREAMH!$A$2:$A$766,0))="Người bán dâm (SW)"))</f>
        <v>0</v>
      </c>
      <c r="J24" s="78" cm="1">
        <f t="array" ref="J24">SUMPRODUCT((DREAMH!$D$2:$D$766="Liên minh hạnh phúc")*(DREAMH!$B$2:$B$766="F6. Thông tin chẩn đoán và điều trị")*(INDEX(DREAMH!$K$2:$K$766,MATCH(DREAMH!$A$2:$A$766,DREAMH!$A$2:$A$766,0))="Nam quan hệ tình dục đồng giới (MSM)"))</f>
        <v>0</v>
      </c>
      <c r="K24" s="37" t="s">
        <v>35</v>
      </c>
      <c r="L24" s="37" t="s">
        <v>35</v>
      </c>
      <c r="M24" s="37" t="s">
        <v>35</v>
      </c>
      <c r="N24" s="37" t="s">
        <v>35</v>
      </c>
      <c r="O24" s="42"/>
      <c r="P24" s="31" t="s">
        <v>60</v>
      </c>
    </row>
    <row r="25" spans="2:16" s="8" customFormat="1" ht="17.25" customHeight="1" x14ac:dyDescent="0.3">
      <c r="B25" s="39">
        <v>4</v>
      </c>
      <c r="C25" s="45" t="s">
        <v>61</v>
      </c>
      <c r="D25" s="46"/>
      <c r="E25" s="79" cm="1">
        <f t="array" ref="E25">SUMPRODUCT((DREAMH!$D$2:$D$766="Liên minh hạnh phúc")*(DREAMH!$B$2:$B$766="F6. Thông tin chẩn đoán và điều trị") / (COUNTIFS(DREAMH!$A$2:$A$766, DREAMH!$A$2:$A$766, DREAMH!$B$2:$B$766, "F6. Thông tin chẩn đoán và điều trị") + (COUNTIFS(DREAMH!$A$2:$A$766, DREAMH!$A$2:$A$766, DREAMH!$B$2:$B$766, "F6. Thông tin chẩn đoán và điều trị")=0)))</f>
        <v>0</v>
      </c>
      <c r="F25" s="79" cm="1">
        <f t="array" ref="F25">SUMPRODUCT((DREAMH!$D$2:$D$766="Liên minh hạnh phúc")*(DREAMH!$B$2:$B$766="F6. Thông tin chẩn đoán và điều trị")*(INDEX(DREAMH!$K$2:$K$766,MATCH(DREAMH!$A$2:$A$766,DREAMH!$A$2:$A$766,0))="Người sử dụng ma túy (PUD)"))</f>
        <v>0</v>
      </c>
      <c r="G25" s="79" cm="1">
        <f t="array" ref="G25">SUMPRODUCT((DREAMH!$D$2:$D$766="Liên minh hạnh phúc")*(DREAMH!$B$2:$B$766="F6. Thông tin chẩn đoán và điều trị")*(INDEX(DREAMH!$K$2:$K$766,MATCH(DREAMH!$A$2:$A$766,DREAMH!$A$2:$A$766,0))="Người sống chung với HIV (PLHIV)"))</f>
        <v>0</v>
      </c>
      <c r="H25" s="79" cm="1">
        <f t="array" ref="H25">SUMPRODUCT((DREAMH!$D$2:$D$766="Liên minh hạnh phúc")*(DREAMH!$B$2:$B$766="F6. Thông tin chẩn đoán và điều trị")*(INDEX(DREAMH!$K$2:$K$766,MATCH(DREAMH!$A$2:$A$766,DREAMH!$A$2:$A$766,0))="Người chuyển giới (TG)"))</f>
        <v>0</v>
      </c>
      <c r="I25" s="78" cm="1">
        <f t="array" ref="I25">SUMPRODUCT((DREAMH!$D$2:$D$766="Liên minh hạnh phúc")*(DREAMH!$B$2:$B$766="F6. Thông tin chẩn đoán và điều trị")*(INDEX(DREAMH!$K$2:$K$766,MATCH(DREAMH!$A$2:$A$766,DREAMH!$A$2:$A$766,0))="Người bán dâm (SW)"))</f>
        <v>0</v>
      </c>
      <c r="J25" s="78" cm="1">
        <f t="array" ref="J25">SUMPRODUCT((DREAMH!$D$2:$D$766="Liên minh hạnh phúc")*(DREAMH!$B$2:$B$766="F6. Thông tin chẩn đoán và điều trị")*(INDEX(DREAMH!$K$2:$K$766,MATCH(DREAMH!$A$2:$A$766,DREAMH!$A$2:$A$766,0))="Nam quan hệ tình dục đồng giới (MSM)"))</f>
        <v>0</v>
      </c>
      <c r="K25" s="37" t="s">
        <v>35</v>
      </c>
      <c r="L25" s="37" t="s">
        <v>35</v>
      </c>
      <c r="M25" s="37" t="s">
        <v>35</v>
      </c>
      <c r="N25" s="37" t="s">
        <v>35</v>
      </c>
      <c r="O25" s="91" t="s">
        <v>62</v>
      </c>
      <c r="P25" s="31"/>
    </row>
    <row r="26" spans="2:16" s="8" customFormat="1" ht="18" customHeight="1" x14ac:dyDescent="0.3">
      <c r="B26" s="47"/>
      <c r="C26" s="48" t="s">
        <v>63</v>
      </c>
      <c r="D26" s="46"/>
      <c r="E26" s="79" cm="1">
        <f t="array" ref="E26">SUMPRODUCT((DREAMH!$D$2:$D$766="Liên minh hạnh phúc")*(DREAMH!$B$2:$B$766="F6. Thông tin chẩn đoán và điều trị")*(DREAMH!$DA$2:$DA$766="Khám lần đầu"))</f>
        <v>0</v>
      </c>
      <c r="F26" s="79" cm="1">
        <f t="array" ref="F26">SUMPRODUCT((DREAMH!$D$2:$D$766="Liên minh hạnh phúc")*(DREAMH!$B$2:$B$766="F6. Thông tin chẩn đoán và điều trị")*(DREAMH!$DA$2:$DA$766="Khám lần đầu")*(INDEX(DREAMH!$K$2:$K$766,MATCH(DREAMH!$A$2:$A$766,DREAMH!$A$2:$A$766,0))="Người sử dụng ma túy (PUD)"))</f>
        <v>0</v>
      </c>
      <c r="G26" s="79" cm="1">
        <f t="array" ref="G26">SUMPRODUCT((DREAMH!$D$2:$D$766="Liên minh hạnh phúc")*(DREAMH!$B$2:$B$766="F6. Thông tin chẩn đoán và điều trị")*(DREAMH!$DA$2:$DA$766="Khám lần đầu")*(INDEX(DREAMH!$K$2:$K$766,MATCH(DREAMH!$A$2:$A$766,DREAMH!$A$2:$A$766,0))="Người sống chung với HIV (PLHIV)"))</f>
        <v>0</v>
      </c>
      <c r="H26" s="79" cm="1">
        <f t="array" ref="H26">SUMPRODUCT((DREAMH!$D$2:$D$766="Liên minh hạnh phúc")*(DREAMH!$B$2:$B$766="F6. Thông tin chẩn đoán và điều trị")*(DREAMH!$DA$2:$DA$766="Khám lần đầu")*(INDEX(DREAMH!$K$2:$K$766,MATCH(DREAMH!$A$2:$A$766,DREAMH!$A$2:$A$766,0))="Người chuyển giới (TG)"))</f>
        <v>0</v>
      </c>
      <c r="I26" s="78" cm="1">
        <f t="array" ref="I26">SUMPRODUCT((DREAMH!$D$2:$D$766="Liên minh hạnh phúc")*(DREAMH!$B$2:$B$766="F6. Thông tin chẩn đoán và điều trị")*(DREAMH!$DA$2:$DA$766="Khám lần đầu")*(INDEX(DREAMH!$K$2:$K$766,MATCH(DREAMH!$A$2:$A$766,DREAMH!$A$2:$A$766,0))="Người bán dâm (SW)"))</f>
        <v>0</v>
      </c>
      <c r="J26" s="78" cm="1">
        <f t="array" ref="J26">SUMPRODUCT((DREAMH!$D$2:$D$766="Liên minh hạnh phúc")*(DREAMH!$B$2:$B$766="F6. Thông tin chẩn đoán và điều trị")*(DREAMH!$DA$2:$DA$766="Khám lần đầu")*(INDEX(DREAMH!$K$2:$K$766,MATCH(DREAMH!$A$2:$A$766,DREAMH!$A$2:$A$766,0))="Nam quan hệ tình dục đồng giới (MSM)"))</f>
        <v>0</v>
      </c>
      <c r="K26" s="37" t="s">
        <v>35</v>
      </c>
      <c r="L26" s="37" t="s">
        <v>35</v>
      </c>
      <c r="M26" s="37" t="s">
        <v>35</v>
      </c>
      <c r="N26" s="37" t="s">
        <v>35</v>
      </c>
      <c r="O26" s="91"/>
      <c r="P26" s="31"/>
    </row>
    <row r="27" spans="2:16" s="8" customFormat="1" ht="18" customHeight="1" x14ac:dyDescent="0.3">
      <c r="B27" s="47"/>
      <c r="C27" s="48" t="s">
        <v>64</v>
      </c>
      <c r="D27" s="46"/>
      <c r="E27" s="79" cm="1">
        <f t="array" ref="E27">SUMPRODUCT((DREAMH!$D$2:$D$766="Liên minh hạnh phúc")*(DREAMH!$B$2:$B$766="F6. Thông tin chẩn đoán và điều trị")*(DREAMH!$DA$2:$DA$766="Tái khám"))</f>
        <v>0</v>
      </c>
      <c r="F27" s="79" cm="1">
        <f t="array" ref="F27">SUMPRODUCT((DREAMH!$D$2:$D$766="Liên minh hạnh phúc")*(DREAMH!$B$2:$B$766="F6. Thông tin chẩn đoán và điều trị")*(DREAMH!$DA$2:$DA$766="Tái khám")*(INDEX(DREAMH!$K$2:$K$766,MATCH(DREAMH!$A$2:$A$766,DREAMH!$A$2:$A$766,0))="Người sử dụng ma túy (PUD)"))</f>
        <v>0</v>
      </c>
      <c r="G27" s="79" cm="1">
        <f t="array" ref="G27">SUMPRODUCT((DREAMH!$D$2:$D$766="Liên minh hạnh phúc")*(DREAMH!$B$2:$B$766="F6. Thông tin chẩn đoán và điều trị")*(DREAMH!$DA$2:$DA$766="Tái khám")*(INDEX(DREAMH!$K$2:$K$766,MATCH(DREAMH!$A$2:$A$766,DREAMH!$A$2:$A$766,0))="Người sống chung với HIV (PLHIV)"))</f>
        <v>0</v>
      </c>
      <c r="H27" s="79" cm="1">
        <f t="array" ref="H27">SUMPRODUCT((DREAMH!$D$2:$D$766="Liên minh hạnh phúc")*(DREAMH!$B$2:$B$766="F6. Thông tin chẩn đoán và điều trị")*(DREAMH!$DA$2:$DA$766="Tái khám")*(INDEX(DREAMH!$K$2:$K$766,MATCH(DREAMH!$A$2:$A$766,DREAMH!$A$2:$A$766,0))="Người chuyển giới (TG)"))</f>
        <v>0</v>
      </c>
      <c r="I27" s="78" cm="1">
        <f t="array" ref="I27">SUMPRODUCT((DREAMH!$D$2:$D$766="Liên minh hạnh phúc")*(DREAMH!$B$2:$B$766="F6. Thông tin chẩn đoán và điều trị")*(DREAMH!$DA$2:$DA$766="Tái khám")*(INDEX(DREAMH!$K$2:$K$766,MATCH(DREAMH!$A$2:$A$766,DREAMH!$A$2:$A$766,0))="Người bán dâm (SW)"))</f>
        <v>0</v>
      </c>
      <c r="J27" s="78" cm="1">
        <f t="array" ref="J27">SUMPRODUCT((DREAMH!$D$2:$D$766="Liên minh hạnh phúc")*(DREAMH!$B$2:$B$766="F6. Thông tin chẩn đoán và điều trị")*(DREAMH!$DA$2:$DA$766="Tái khám")*(INDEX(DREAMH!$K$2:$K$766,MATCH(DREAMH!$A$2:$A$766,DREAMH!$A$2:$A$766,0))="Nam quan hệ tình dục đồng giới (MSM)"))</f>
        <v>0</v>
      </c>
      <c r="K27" s="37" t="s">
        <v>35</v>
      </c>
      <c r="L27" s="37" t="s">
        <v>35</v>
      </c>
      <c r="M27" s="37" t="s">
        <v>35</v>
      </c>
      <c r="N27" s="37" t="s">
        <v>35</v>
      </c>
      <c r="O27" s="91"/>
      <c r="P27" s="31"/>
    </row>
    <row r="28" spans="2:16" s="8" customFormat="1" ht="18" customHeight="1" x14ac:dyDescent="0.3">
      <c r="B28" s="47"/>
      <c r="C28" s="48" t="s">
        <v>65</v>
      </c>
      <c r="D28" s="46"/>
      <c r="E28" s="79" cm="1">
        <f t="array" ref="E28">SUMPRODUCT((DREAMH!$D$2:$D$766="Liên minh hạnh phúc")*(DREAMH!$B$2:$B$766="F6. Thông tin chẩn đoán và điều trị")*(DREAMH!$DA$2:$DA$766="Tái khám"))</f>
        <v>0</v>
      </c>
      <c r="F28" s="79" cm="1">
        <f t="array" ref="F28">SUMPRODUCT((DREAMH!$D$2:$D$766="Liên minh hạnh phúc")*(DREAMH!$B$2:$B$766="F6. Thông tin chẩn đoán và điều trị")*(DREAMH!$DA$2:$DA$766="Tái khám")*(INDEX(DREAMH!$K$2:$K$766,MATCH(DREAMH!$A$2:$A$766,DREAMH!$A$2:$A$766,0))="Người sử dụng ma túy (PUD)"))</f>
        <v>0</v>
      </c>
      <c r="G28" s="79" cm="1">
        <f t="array" ref="G28">SUMPRODUCT((DREAMH!$D$2:$D$766="Liên minh hạnh phúc")*(DREAMH!$B$2:$B$766="F6. Thông tin chẩn đoán và điều trị")*(DREAMH!$DA$2:$DA$766="Tái khám")*(INDEX(DREAMH!$K$2:$K$766,MATCH(DREAMH!$A$2:$A$766,DREAMH!$A$2:$A$766,0))="Người sống chung với HIV (PLHIV)"))</f>
        <v>0</v>
      </c>
      <c r="H28" s="79" cm="1">
        <f t="array" ref="H28">SUMPRODUCT((DREAMH!$D$2:$D$766="Liên minh hạnh phúc")*(DREAMH!$B$2:$B$766="F6. Thông tin chẩn đoán và điều trị")*(DREAMH!$DA$2:$DA$766="Tái khám")*(INDEX(DREAMH!$K$2:$K$766,MATCH(DREAMH!$A$2:$A$766,DREAMH!$A$2:$A$766,0))="Người chuyển giới (TG)"))</f>
        <v>0</v>
      </c>
      <c r="I28" s="78" cm="1">
        <f t="array" ref="I28">SUMPRODUCT((DREAMH!$D$2:$D$766="Liên minh hạnh phúc")*(DREAMH!$B$2:$B$766="F6. Thông tin chẩn đoán và điều trị")*(DREAMH!$DA$2:$DA$766="Tái khám")*(INDEX(DREAMH!$K$2:$K$766,MATCH(DREAMH!$A$2:$A$766,DREAMH!$A$2:$A$766,0))="Người bán dâm (SW)"))</f>
        <v>0</v>
      </c>
      <c r="J28" s="78" cm="1">
        <f t="array" ref="J28">SUMPRODUCT((DREAMH!$D$2:$D$766="Liên minh hạnh phúc")*(DREAMH!$B$2:$B$766="F6. Thông tin chẩn đoán và điều trị")*(DREAMH!$DA$2:$DA$766="Tái khám")*(INDEX(DREAMH!$K$2:$K$766,MATCH(DREAMH!$A$2:$A$766,DREAMH!$A$2:$A$766,0))="Nam quan hệ tình dục đồng giới (MSM)"))</f>
        <v>0</v>
      </c>
      <c r="K28" s="37" t="s">
        <v>35</v>
      </c>
      <c r="L28" s="37" t="s">
        <v>35</v>
      </c>
      <c r="M28" s="37" t="s">
        <v>35</v>
      </c>
      <c r="N28" s="37" t="s">
        <v>35</v>
      </c>
      <c r="O28" s="91"/>
      <c r="P28" s="31"/>
    </row>
    <row r="29" spans="2:16" s="8" customFormat="1" ht="18" customHeight="1" x14ac:dyDescent="0.3">
      <c r="B29" s="39">
        <v>5</v>
      </c>
      <c r="C29" s="45" t="s">
        <v>66</v>
      </c>
      <c r="D29" s="46"/>
      <c r="E29" s="79" cm="1">
        <f t="array" ref="E29">SUMPRODUCT((DREAMH!$D$2:$D$766="Liên minh hạnh phúc")*(DREAMH!$B$2:$B$766="F6. Thông tin chẩn đoán và điều trị")*(DREAMH!$DL$2:$DL$766="Chọn"))</f>
        <v>0</v>
      </c>
      <c r="F29" s="79" cm="1">
        <f t="array" ref="F29">SUMPRODUCT((DREAMH!$D$2:$D$766="Liên minh hạnh phúc")*(DREAMH!$B$2:$B$766="F6. Thông tin chẩn đoán và điều trị")*(DREAMH!$DL$2:$DL$766="Chọn")*(INDEX(DREAMH!$K$2:$K$766,MATCH(DREAMH!$A$2:$A$766,DREAMH!$A$2:$A$766,0))="Người sử dụng ma túy (PUD)"))</f>
        <v>0</v>
      </c>
      <c r="G29" s="79" cm="1">
        <f t="array" ref="G29">SUMPRODUCT((DREAMH!$D$2:$D$766="Liên minh hạnh phúc")*(DREAMH!$B$2:$B$766="F6. Thông tin chẩn đoán và điều trị")*(DREAMH!$DL$2:$DL$766="Chọn")*(INDEX(DREAMH!$K$2:$K$766,MATCH(DREAMH!$A$2:$A$766,DREAMH!$A$2:$A$766,0))="Người sống chung với HIV (PLHIV)"))</f>
        <v>0</v>
      </c>
      <c r="H29" s="79" cm="1">
        <f t="array" ref="H29">SUMPRODUCT((DREAMH!$D$2:$D$766="Liên minh hạnh phúc")*(DREAMH!$B$2:$B$766="F6. Thông tin chẩn đoán và điều trị")*(DREAMH!$DL$2:$DL$766="Chọn")*(INDEX(DREAMH!$K$2:$K$766,MATCH(DREAMH!$A$2:$A$766,DREAMH!$A$2:$A$766,0))="Người chuyển giới (TG)"))</f>
        <v>0</v>
      </c>
      <c r="I29" s="78" cm="1">
        <f t="array" ref="I29">SUMPRODUCT((DREAMH!$D$2:$D$766="Liên minh hạnh phúc")*(DREAMH!$B$2:$B$766="F6. Thông tin chẩn đoán và điều trị")*(DREAMH!$DL$2:$DL$766="Chọn")*(INDEX(DREAMH!$K$2:$K$766,MATCH(DREAMH!$A$2:$A$766,DREAMH!$A$2:$A$766,0))="Người bán dâm (SW)"))</f>
        <v>0</v>
      </c>
      <c r="J29" s="78" cm="1">
        <f t="array" ref="J29">SUMPRODUCT((DREAMH!$D$2:$D$766="Liên minh hạnh phúc")*(DREAMH!$B$2:$B$766="F6. Thông tin chẩn đoán và điều trị")*(DREAMH!$DL$2:$DL$766="Chọn")*(INDEX(DREAMH!$K$2:$K$766,MATCH(DREAMH!$A$2:$A$766,DREAMH!$A$2:$A$766,0))="Nam quan hệ tình dục đồng giới (MSM)"))</f>
        <v>0</v>
      </c>
      <c r="K29" s="37" t="s">
        <v>35</v>
      </c>
      <c r="L29" s="37" t="s">
        <v>35</v>
      </c>
      <c r="M29" s="37" t="s">
        <v>35</v>
      </c>
      <c r="N29" s="37" t="s">
        <v>35</v>
      </c>
      <c r="O29" s="91"/>
      <c r="P29" s="31"/>
    </row>
    <row r="30" spans="2:16" s="8" customFormat="1" ht="33" customHeight="1" x14ac:dyDescent="0.3">
      <c r="B30" s="39">
        <v>6</v>
      </c>
      <c r="C30" s="45" t="s">
        <v>67</v>
      </c>
      <c r="D30" s="46"/>
      <c r="E30" s="79" cm="1">
        <f t="array" ref="E30">SUMPRODUCT((DREAMH!$D$2:$D$766="Liên minh hạnh phúc")*(DREAMH!$B$2:$B$766="F5. Phiếu hỗ trợ tuân thủ điều trị")*(DREAMH!$BG$2:$BG$766="Chọn"))</f>
        <v>0</v>
      </c>
      <c r="F30" s="79" cm="1">
        <f t="array" ref="F30">SUMPRODUCT((DREAMH!$D$2:$D$766="Liên minh hạnh phúc")*(DREAMH!$B$2:$B$766="F5. Phiếu hỗ trợ tuân thủ điều trị")*(DREAMH!$BG$2:$BG$766="Chọn")*(INDEX(DREAMH!$K$2:$K$766,MATCH(DREAMH!$A$2:$A$766,DREAMH!$A$2:$A$766,0))="Người sử dụng ma túy (PUD)"))</f>
        <v>0</v>
      </c>
      <c r="G30" s="79" cm="1">
        <f t="array" ref="G30">SUMPRODUCT((DREAMH!$D$2:$D$766="Liên minh hạnh phúc")*(DREAMH!$B$2:$B$766="F5. Phiếu hỗ trợ tuân thủ điều trị")*(DREAMH!$BG$2:$BG$766="Chọn")*(INDEX(DREAMH!$K$2:$K$766,MATCH(DREAMH!$A$2:$A$766,DREAMH!$A$2:$A$766,0))="Người sống chung với HIV (PLHIV)"))</f>
        <v>0</v>
      </c>
      <c r="H30" s="79" cm="1">
        <f t="array" ref="H30">SUMPRODUCT((DREAMH!$D$2:$D$766="Liên minh hạnh phúc")*(DREAMH!$B$2:$B$766="F5. Phiếu hỗ trợ tuân thủ điều trị")*(DREAMH!$BG$2:$BG$766="Chọn")*(INDEX(DREAMH!$K$2:$K$766,MATCH(DREAMH!$A$2:$A$766,DREAMH!$A$2:$A$766,0))="Người chuyển giới (TG)"))</f>
        <v>0</v>
      </c>
      <c r="I30" s="78" cm="1">
        <f t="array" ref="I30">SUMPRODUCT((DREAMH!$D$2:$D$766="Liên minh hạnh phúc")*(DREAMH!$B$2:$B$766="F5. Phiếu hỗ trợ tuân thủ điều trị")*(DREAMH!$BG$2:$BG$766="Chọn")*(INDEX(DREAMH!$K$2:$K$766,MATCH(DREAMH!$A$2:$A$766,DREAMH!$A$2:$A$766,0))="Người bán dâm (SW)"))</f>
        <v>0</v>
      </c>
      <c r="J30" s="78" cm="1">
        <f t="array" ref="J30">SUMPRODUCT((DREAMH!$D$2:$D$766="Liên minh hạnh phúc")*(DREAMH!$B$2:$B$766="F5. Phiếu hỗ trợ tuân thủ điều trị")*(DREAMH!$BG$2:$BG$766="Chọn")*(INDEX(DREAMH!$K$2:$K$766,MATCH(DREAMH!$A$2:$A$766,DREAMH!$A$2:$A$766,0))="Nam quan hệ tình dục đồng giới (MSM)"))</f>
        <v>0</v>
      </c>
      <c r="K30" s="37" t="s">
        <v>35</v>
      </c>
      <c r="L30" s="37" t="s">
        <v>35</v>
      </c>
      <c r="M30" s="37" t="s">
        <v>35</v>
      </c>
      <c r="N30" s="37" t="s">
        <v>35</v>
      </c>
      <c r="O30" s="49" t="s">
        <v>68</v>
      </c>
      <c r="P30" s="31"/>
    </row>
    <row r="31" spans="2:16" s="50" customFormat="1" ht="16.5" customHeight="1" x14ac:dyDescent="0.3">
      <c r="B31" s="51" t="s">
        <v>69</v>
      </c>
      <c r="C31" s="52" t="s">
        <v>70</v>
      </c>
      <c r="D31" s="53"/>
      <c r="E31" s="79"/>
      <c r="F31" s="79"/>
      <c r="G31" s="79"/>
      <c r="H31" s="79"/>
      <c r="I31" s="78"/>
      <c r="J31" s="78"/>
      <c r="K31" s="54"/>
      <c r="L31" s="54"/>
      <c r="M31" s="54"/>
      <c r="N31" s="54"/>
      <c r="O31" s="91" t="s">
        <v>71</v>
      </c>
      <c r="P31" s="31"/>
    </row>
    <row r="32" spans="2:16" s="50" customFormat="1" ht="16.5" customHeight="1" x14ac:dyDescent="0.3">
      <c r="B32" s="55">
        <v>1</v>
      </c>
      <c r="C32" s="56" t="s">
        <v>72</v>
      </c>
      <c r="D32" s="2"/>
      <c r="E32" s="74" cm="1">
        <f t="array" ref="E32">SUMPRODUCT((DREAMH!$D$2:$D$766="Liên minh hạnh phúc")*((DREAMH!$B$2:$B$766="F7. Phiếu tư vấn lần 1")+(DREAMH!$B$2:$B$766="F8. Phiếu tư vấn (từ lần 2)")))</f>
        <v>0</v>
      </c>
      <c r="F32" s="74" cm="1">
        <f t="array" ref="F32">SUMPRODUCT((DREAMH!$D$2:$D$766="Liên minh hạnh phúc")*((DREAMH!$B$2:$B$766="F7. Phiếu tư vấn lần 1")+(DREAMH!$B$2:$B$766="F8. Phiếu tư vấn (từ lần 2)"))*(INDEX(DREAMH!$K$2:$K$766,MATCH(DREAMH!$A$2:$A$766,DREAMH!$A$2:$A$766,0))="Người sử dụng ma túy (PUD)"))</f>
        <v>0</v>
      </c>
      <c r="G32" s="74" cm="1">
        <f t="array" ref="G32">SUMPRODUCT((DREAMH!$D$2:$D$766="Liên minh hạnh phúc")*((DREAMH!$B$2:$B$766="F7. Phiếu tư vấn lần 1")+(DREAMH!$B$2:$B$766="F8. Phiếu tư vấn (từ lần 2)"))*(INDEX(DREAMH!$K$2:$K$766,MATCH(DREAMH!$A$2:$A$766,DREAMH!$A$2:$A$766,0))="Người sống chung với HIV (PLHIV)"))</f>
        <v>0</v>
      </c>
      <c r="H32" s="74" cm="1">
        <f t="array" ref="H32">SUMPRODUCT((DREAMH!$D$2:$D$766="Liên minh hạnh phúc")*((DREAMH!$B$2:$B$766="F7. Phiếu tư vấn lần 1")+(DREAMH!$B$2:$B$766="F8. Phiếu tư vấn (từ lần 2)"))*(INDEX(DREAMH!$K$2:$K$766,MATCH(DREAMH!$A$2:$A$766,DREAMH!$A$2:$A$766,0))="Người chuyển giới (TG)"))</f>
        <v>0</v>
      </c>
      <c r="I32" s="78" cm="1">
        <f t="array" ref="I32">SUMPRODUCT((DREAMH!$D$2:$D$766="Liên minh hạnh phúc")*((DREAMH!$B$2:$B$766="F7. Phiếu tư vấn lần 1")+(DREAMH!$B$2:$B$766="F8. Phiếu tư vấn (từ lần 2)"))*(INDEX(DREAMH!$K$2:$K$766,MATCH(DREAMH!$A$2:$A$766,DREAMH!$A$2:$A$766,0))="Người bán dâm (SW)"))</f>
        <v>0</v>
      </c>
      <c r="J32" s="78" cm="1">
        <f t="array" ref="J32">SUMPRODUCT((DREAMH!$D$2:$D$766="Liên minh hạnh phúc")*((DREAMH!$B$2:$B$766="F7. Phiếu tư vấn lần 1")+(DREAMH!$B$2:$B$766="F8. Phiếu tư vấn (từ lần 2)"))*(INDEX(DREAMH!$K$2:$K$766,MATCH(DREAMH!$A$2:$A$766,DREAMH!$A$2:$A$766,0))="Nam quan hệ tình dục đồng giới (MSM)"))</f>
        <v>0</v>
      </c>
      <c r="K32" s="37" t="s">
        <v>35</v>
      </c>
      <c r="L32" s="37" t="s">
        <v>35</v>
      </c>
      <c r="M32" s="37" t="s">
        <v>35</v>
      </c>
      <c r="N32" s="37" t="s">
        <v>35</v>
      </c>
      <c r="O32" s="91"/>
      <c r="P32" s="31"/>
    </row>
    <row r="33" spans="2:16" ht="18" customHeight="1" x14ac:dyDescent="0.3">
      <c r="B33" s="57">
        <v>2</v>
      </c>
      <c r="C33" s="92" t="s">
        <v>73</v>
      </c>
      <c r="D33" s="92"/>
      <c r="E33" s="80" cm="1">
        <f t="array" ref="E33">SUMPRODUCT((DREAMH!$D$2:$D$766="Liên minh hạnh phúc")*(DREAMH!$B$2:$B$766="F7. Phiếu tư vấn lần 1"))</f>
        <v>0</v>
      </c>
      <c r="F33" s="80" cm="1">
        <f t="array" ref="F33">SUMPRODUCT((DREAMH!$D$2:$D$766="Liên minh hạnh phúc")*(DREAMH!$B$2:$B$766="F7. Phiếu tư vấn lần 1")*(INDEX(DREAMH!$K$2:$K$766,MATCH(DREAMH!$A$2:$A$766,DREAMH!$A$2:$A$766,0))="Người sử dụng ma túy (PUD)"))</f>
        <v>0</v>
      </c>
      <c r="G33" s="80" cm="1">
        <f t="array" ref="G33">SUMPRODUCT((DREAMH!$D$2:$D$766="Liên minh hạnh phúc")*(DREAMH!$B$2:$B$766="F7. Phiếu tư vấn lần 1")*(INDEX(DREAMH!$K$2:$K$766,MATCH(DREAMH!$A$2:$A$766,DREAMH!$A$2:$A$766,0))="Người sống chung với HIV (PLHIV)"))</f>
        <v>0</v>
      </c>
      <c r="H33" s="80" cm="1">
        <f t="array" ref="H33">SUMPRODUCT((DREAMH!$D$2:$D$766="Liên minh hạnh phúc")*(DREAMH!$B$2:$B$766="F7. Phiếu tư vấn lần 1")*(INDEX(DREAMH!$K$2:$K$766,MATCH(DREAMH!$A$2:$A$766,DREAMH!$A$2:$A$766,0))="Người chuyển giới (TG)"))</f>
        <v>0</v>
      </c>
      <c r="I33" s="78" cm="1">
        <f t="array" ref="I33">SUMPRODUCT((DREAMH!$D$2:$D$766="Liên minh hạnh phúc")*(DREAMH!$B$2:$B$766="F7. Phiếu tư vấn lần 1")*(INDEX(DREAMH!$K$2:$K$766,MATCH(DREAMH!$A$2:$A$766,DREAMH!$A$2:$A$766,0))="Người bán dâm (SW)"))</f>
        <v>0</v>
      </c>
      <c r="J33" s="78" cm="1">
        <f t="array" ref="J33">SUMPRODUCT((DREAMH!$D$2:$D$766="Liên minh hạnh phúc")*(DREAMH!$B$2:$B$766="F7. Phiếu tư vấn lần 1")*(INDEX(DREAMH!$K$2:$K$766,MATCH(DREAMH!$A$2:$A$766,DREAMH!$A$2:$A$766,0))="Nam quan hệ tình dục đồng giới (MSM)"))</f>
        <v>0</v>
      </c>
      <c r="K33" s="37" t="s">
        <v>35</v>
      </c>
      <c r="L33" s="37" t="s">
        <v>35</v>
      </c>
      <c r="M33" s="37" t="s">
        <v>35</v>
      </c>
      <c r="N33" s="37" t="s">
        <v>35</v>
      </c>
      <c r="O33" s="91"/>
      <c r="P33" s="31"/>
    </row>
    <row r="34" spans="2:16" ht="18" customHeight="1" x14ac:dyDescent="0.3">
      <c r="B34" s="20"/>
      <c r="C34" s="58" t="s">
        <v>74</v>
      </c>
      <c r="D34" s="59"/>
      <c r="E34" s="81" cm="1">
        <f t="array" ref="E34">SUMPRODUCT((DREAMH!$D$2:$D$766="Liên minh hạnh phúc")*(DREAMH!$B$2:$B$766="F7. Phiếu tư vấn lần 1")*(COUNTIFS(DREAMH!$A$2:$A$766, DREAMH!$A$2:$A$766, DREAMH!$B$2:$B$766, "F8. Phiếu tư vấn (từ lần 2)")=0))</f>
        <v>0</v>
      </c>
      <c r="F34" s="81" cm="1">
        <f t="array" ref="F34">SUMPRODUCT((DREAMH!$D$2:$D$766="Liên minh hạnh phúc")*(DREAMH!$B$2:$B$766="F7. Phiếu tư vấn lần 1")*(COUNTIFS(DREAMH!$A$2:$A$766, DREAMH!$A$2:$A$766, DREAMH!$B$2:$B$766, "F8. Phiếu tư vấn (từ lần 2)")=0)*(INDEX(DREAMH!$K$2:$K$766,MATCH(DREAMH!$A$2:$A$766,DREAMH!$A$2:$A$766,0))="Người sử dụng ma túy (PUD)"))</f>
        <v>0</v>
      </c>
      <c r="G34" s="81" cm="1">
        <f t="array" ref="G34">SUMPRODUCT((DREAMH!$D$2:$D$766="Liên minh hạnh phúc")*(DREAMH!$B$2:$B$766="F7. Phiếu tư vấn lần 1")*(COUNTIFS(DREAMH!$A$2:$A$766, DREAMH!$A$2:$A$766, DREAMH!$B$2:$B$766, "F8. Phiếu tư vấn (từ lần 2)")=0)*(INDEX(DREAMH!$K$2:$K$766,MATCH(DREAMH!$A$2:$A$766,DREAMH!$A$2:$A$766,0))="Người sống chung với HIV (PLHIV)"))</f>
        <v>0</v>
      </c>
      <c r="H34" s="81" cm="1">
        <f t="array" ref="H34">SUMPRODUCT((DREAMH!$D$2:$D$766="Liên minh hạnh phúc")*(DREAMH!$B$2:$B$766="F7. Phiếu tư vấn lần 1")*(COUNTIFS(DREAMH!$A$2:$A$766, DREAMH!$A$2:$A$766, DREAMH!$B$2:$B$766, "F8. Phiếu tư vấn (từ lần 2)")=0)*(INDEX(DREAMH!$K$2:$K$766,MATCH(DREAMH!$A$2:$A$766,DREAMH!$A$2:$A$766,0))="Người chuyển giới (TG)"))</f>
        <v>0</v>
      </c>
      <c r="I34" s="78" cm="1">
        <f t="array" ref="I34">SUMPRODUCT((DREAMH!$D$2:$D$766="Liên minh hạnh phúc")*(DREAMH!$B$2:$B$766="F7. Phiếu tư vấn lần 1")*(COUNTIFS(DREAMH!$A$2:$A$766, DREAMH!$A$2:$A$766, DREAMH!$B$2:$B$766, "F8. Phiếu tư vấn (từ lần 2)")=0)*(INDEX(DREAMH!$K$2:$K$766,MATCH(DREAMH!$A$2:$A$766,DREAMH!$A$2:$A$766,0))="Người bán dâm (SW)"))</f>
        <v>0</v>
      </c>
      <c r="J34" s="78" cm="1">
        <f t="array" ref="J34">SUMPRODUCT((DREAMH!$D$2:$D$766="Liên minh hạnh phúc")*(DREAMH!$B$2:$B$766="F7. Phiếu tư vấn lần 1")*(COUNTIFS(DREAMH!$A$2:$A$766, DREAMH!$A$2:$A$766, DREAMH!$B$2:$B$766, "F8. Phiếu tư vấn (từ lần 2)")=0)*(INDEX(DREAMH!$K$2:$K$766,MATCH(DREAMH!$A$2:$A$766,DREAMH!$A$2:$A$766,0))="Nam quan hệ tình dục đồng giới (MSM)"))</f>
        <v>0</v>
      </c>
      <c r="K34" s="37"/>
      <c r="L34" s="37" t="s">
        <v>35</v>
      </c>
      <c r="M34" s="37" t="s">
        <v>35</v>
      </c>
      <c r="N34" s="37" t="s">
        <v>35</v>
      </c>
      <c r="O34" s="91"/>
      <c r="P34" s="31"/>
    </row>
    <row r="35" spans="2:16" ht="18" customHeight="1" x14ac:dyDescent="0.3">
      <c r="B35" s="20"/>
      <c r="C35" s="60" t="s">
        <v>75</v>
      </c>
      <c r="D35" s="56"/>
      <c r="E35" s="81" cm="1">
        <f t="array" ref="E35">SUMPRODUCT((DREAMH!$D$2:$D$766="Liên minh hạnh phúc")*(DREAMH!$B$2:$B$766="F8. Phiếu tư vấn (từ lần 2)")*(COUNTIFS(DREAMH!$A$2:$A$766, DREAMH!$A$2:$A$766, DREAMH!$B$2:$B$766, "F8. Phiếu tư vấn (từ lần 2)")=1))</f>
        <v>0</v>
      </c>
      <c r="F35" s="81" cm="1">
        <f t="array" ref="F35">SUMPRODUCT((DREAMH!$D$2:$D$766="Liên minh hạnh phúc")*(DREAMH!$B$2:$B$766="F8. Phiếu tư vấn (từ lần 2)")*(COUNTIFS(DREAMH!$A$2:$A$766, DREAMH!$A$2:$A$766, DREAMH!$B$2:$B$766, "F8. Phiếu tư vấn (từ lần 2)")=1)*(INDEX(DREAMH!$K$2:$K$766,MATCH(DREAMH!$A$2:$A$766,DREAMH!$A$2:$A$766,0))="Người sử dụng ma túy (PUD)"))</f>
        <v>0</v>
      </c>
      <c r="G35" s="81" cm="1">
        <f t="array" ref="G35">SUMPRODUCT((DREAMH!$D$2:$D$766="Liên minh hạnh phúc")*(DREAMH!$B$2:$B$766="F8. Phiếu tư vấn (từ lần 2)")*(COUNTIFS(DREAMH!$A$2:$A$766, DREAMH!$A$2:$A$766, DREAMH!$B$2:$B$766, "F8. Phiếu tư vấn (từ lần 2)")=1)*(INDEX(DREAMH!$K$2:$K$766,MATCH(DREAMH!$A$2:$A$766,DREAMH!$A$2:$A$766,0))="Người sống chung với HIV (PLHIV)"))</f>
        <v>0</v>
      </c>
      <c r="H35" s="81" cm="1">
        <f t="array" ref="H35">SUMPRODUCT((DREAMH!$D$2:$D$766="Liên minh hạnh phúc")*(DREAMH!$B$2:$B$766="F8. Phiếu tư vấn (từ lần 2)")*(COUNTIFS(DREAMH!$A$2:$A$766, DREAMH!$A$2:$A$766, DREAMH!$B$2:$B$766, "F8. Phiếu tư vấn (từ lần 2)")=1)*(INDEX(DREAMH!$K$2:$K$766,MATCH(DREAMH!$A$2:$A$766,DREAMH!$A$2:$A$766,0))="Người chuyển giới (TG)"))</f>
        <v>0</v>
      </c>
      <c r="I35" s="78" cm="1">
        <f t="array" ref="I35">SUMPRODUCT((DREAMH!$D$2:$D$766="Liên minh hạnh phúc")*(DREAMH!$B$2:$B$766="F8. Phiếu tư vấn (từ lần 2)")*(COUNTIFS(DREAMH!$A$2:$A$766, DREAMH!$A$2:$A$766, DREAMH!$B$2:$B$766, "F8. Phiếu tư vấn (từ lần 2)")=1)*(INDEX(DREAMH!$K$2:$K$766,MATCH(DREAMH!$A$2:$A$766,DREAMH!$A$2:$A$766,0))="Người bán dâm (SW)"))</f>
        <v>0</v>
      </c>
      <c r="J35" s="78" cm="1">
        <f t="array" ref="J35">SUMPRODUCT((DREAMH!$D$2:$D$766="Liên minh hạnh phúc")*(DREAMH!$B$2:$B$766="F8. Phiếu tư vấn (từ lần 2)")*(COUNTIFS(DREAMH!$A$2:$A$766, DREAMH!$A$2:$A$766, DREAMH!$B$2:$B$766, "F8. Phiếu tư vấn (từ lần 2)")=1)*(INDEX(DREAMH!$K$2:$K$766,MATCH(DREAMH!$A$2:$A$766,DREAMH!$A$2:$A$766,0))="Nam quan hệ tình dục đồng giới (MSM)"))</f>
        <v>0</v>
      </c>
      <c r="K35" s="37"/>
      <c r="L35" s="37" t="s">
        <v>35</v>
      </c>
      <c r="M35" s="37" t="s">
        <v>35</v>
      </c>
      <c r="N35" s="37" t="s">
        <v>35</v>
      </c>
      <c r="O35" s="91"/>
      <c r="P35" s="31"/>
    </row>
    <row r="36" spans="2:16" ht="18" customHeight="1" x14ac:dyDescent="0.3">
      <c r="B36" s="39"/>
      <c r="C36" s="61" t="s">
        <v>76</v>
      </c>
      <c r="D36" s="56"/>
      <c r="E36" s="81" cm="1">
        <f t="array" ref="E36">SUMPRODUCT((DREAMH!$D$2:$D$766="Liên minh hạnh phúc")*(DREAMH!$B$2:$B$766="F8. Phiếu tư vấn (từ lần 2)")*(COUNTIFS(DREAMH!$A$2:$A$766, DREAMH!$A$2:$A$766, DREAMH!$B$2:$B$766, "F8. Phiếu tư vấn (từ lần 2)")&gt;=2) / (COUNTIFS(DREAMH!$A$2:$A$766, DREAMH!$A$2:$A$766, DREAMH!$B$2:$B$766, "F8. Phiếu tư vấn (từ lần 2)") + (COUNTIFS(DREAMH!$A$2:$A$766, DREAMH!$A$2:$A$766, DREAMH!$B$2:$B$766, "F8. Phiếu tư vấn (từ lần 2)")=0)))</f>
        <v>0</v>
      </c>
      <c r="F36" s="81" cm="1">
        <f t="array" ref="F36">SUMPRODUCT((DREAMH!$D$2:$D$766="Liên minh hạnh phúc")*(DREAMH!$B$2:$B$766="F8. Phiếu tư vấn (từ lần 2)")*(COUNTIFS(DREAMH!$A$2:$A$766, DREAMH!$A$2:$A$766, DREAMH!$B$2:$B$766, "F8. Phiếu tư vấn (từ lần 2)")&gt;=2)*(INDEX(DREAMH!$K$2:$K$766,MATCH(DREAMH!$A$2:$A$766,DREAMH!$A$2:$A$766,0))="Người sử dụng ma túy (PUD)") / (COUNTIFS(DREAMH!$A$2:$A$766, DREAMH!$A$2:$A$766, DREAMH!$B$2:$B$766, "F8. Phiếu tư vấn (từ lần 2)") + (COUNTIFS(DREAMH!$A$2:$A$766, DREAMH!$A$2:$A$766, DREAMH!$B$2:$B$766, "F8. Phiếu tư vấn (từ lần 2)")=0)))</f>
        <v>0</v>
      </c>
      <c r="G36" s="81" cm="1">
        <f t="array" ref="G36">SUMPRODUCT((DREAMH!$D$2:$D$766="Liên minh hạnh phúc")*(DREAMH!$B$2:$B$766="F8. Phiếu tư vấn (từ lần 2)")*(COUNTIFS(DREAMH!$A$2:$A$766, DREAMH!$A$2:$A$766, DREAMH!$B$2:$B$766, "F8. Phiếu tư vấn (từ lần 2)")&gt;=2)*(INDEX(DREAMH!$K$2:$K$766,MATCH(DREAMH!$A$2:$A$766,DREAMH!$A$2:$A$766,0))="Người sống chung với HIV (PLHIV)") / (COUNTIFS(DREAMH!$A$2:$A$766, DREAMH!$A$2:$A$766, DREAMH!$B$2:$B$766, "F8. Phiếu tư vấn (từ lần 2)") + (COUNTIFS(DREAMH!$A$2:$A$766, DREAMH!$A$2:$A$766, DREAMH!$B$2:$B$766, "F8. Phiếu tư vấn (từ lần 2)")=0)))</f>
        <v>0</v>
      </c>
      <c r="H36" s="81" cm="1">
        <f t="array" ref="H36">SUMPRODUCT((DREAMH!$D$2:$D$766="Liên minh hạnh phúc")*(DREAMH!$B$2:$B$766="F8. Phiếu tư vấn (từ lần 2)")*(COUNTIFS(DREAMH!$A$2:$A$766, DREAMH!$A$2:$A$766, DREAMH!$B$2:$B$766, "F8. Phiếu tư vấn (từ lần 2)")&gt;=2)*(INDEX(DREAMH!$K$2:$K$766,MATCH(DREAMH!$A$2:$A$766,DREAMH!$A$2:$A$766,0))="Người chuyển giới (TG)") / (COUNTIFS(DREAMH!$A$2:$A$766, DREAMH!$A$2:$A$766, DREAMH!$B$2:$B$766, "F8. Phiếu tư vấn (từ lần 2)") + (COUNTIFS(DREAMH!$A$2:$A$766, DREAMH!$A$2:$A$766, DREAMH!$B$2:$B$766, "F8. Phiếu tư vấn (từ lần 2)")=0)))</f>
        <v>0</v>
      </c>
      <c r="I36" s="78" cm="1">
        <f t="array" ref="I36">SUMPRODUCT((DREAMH!$D$2:$D$766="Liên minh hạnh phúc")*(DREAMH!$B$2:$B$766="F8. Phiếu tư vấn (từ lần 2)")*(COUNTIFS(DREAMH!$A$2:$A$766, DREAMH!$A$2:$A$766, DREAMH!$B$2:$B$766, "F8. Phiếu tư vấn (từ lần 2)")&gt;=2)*(INDEX(DREAMH!$K$2:$K$766,MATCH(DREAMH!$A$2:$A$766,DREAMH!$A$2:$A$766,0))="Người bán dâm (SW)") / (COUNTIFS(DREAMH!$A$2:$A$766, DREAMH!$A$2:$A$766, DREAMH!$B$2:$B$766, "F8. Phiếu tư vấn (từ lần 2)") + (COUNTIFS(DREAMH!$A$2:$A$766, DREAMH!$A$2:$A$766, DREAMH!$B$2:$B$766, "F8. Phiếu tư vấn (từ lần 2)")=0)))</f>
        <v>0</v>
      </c>
      <c r="J36" s="78" cm="1">
        <f t="array" ref="J36">SUMPRODUCT((DREAMH!$D$2:$D$766="Liên minh hạnh phúc")*(DREAMH!$B$2:$B$766="F8. Phiếu tư vấn (từ lần 2)")*(COUNTIFS(DREAMH!$A$2:$A$766, DREAMH!$A$2:$A$766, DREAMH!$B$2:$B$766, "F8. Phiếu tư vấn (từ lần 2)")&gt;=2)*(INDEX(DREAMH!$K$2:$K$766,MATCH(DREAMH!$A$2:$A$766,DREAMH!$A$2:$A$766,0))="Nam quan hệ tình dục đồng giới (MSM)") / (COUNTIFS(DREAMH!$A$2:$A$766, DREAMH!$A$2:$A$766, DREAMH!$B$2:$B$766, "F8. Phiếu tư vấn (từ lần 2)") + (COUNTIFS(DREAMH!$A$2:$A$766, DREAMH!$A$2:$A$766, DREAMH!$B$2:$B$766, "F8. Phiếu tư vấn (từ lần 2)")=0)))</f>
        <v>0</v>
      </c>
      <c r="K36" s="37"/>
      <c r="L36" s="37" t="s">
        <v>35</v>
      </c>
      <c r="M36" s="37" t="s">
        <v>35</v>
      </c>
      <c r="N36" s="37" t="s">
        <v>35</v>
      </c>
      <c r="O36" s="91"/>
      <c r="P36" s="31"/>
    </row>
    <row r="37" spans="2:16" ht="18" customHeight="1" x14ac:dyDescent="0.3">
      <c r="B37" s="20">
        <v>3</v>
      </c>
      <c r="C37" s="56" t="s">
        <v>77</v>
      </c>
      <c r="D37" s="62"/>
      <c r="E37" s="81" cm="1">
        <f t="array" ref="E37">SUMPRODUCT((DREAMH!$D$2:$D$766="Liên minh hạnh phúc")*(DREAMH!$B$2:$B$766="F2. Truyền thông, sinh hoạt nhóm, vòng tròn chia sẻ, trị liệu nghệ thuật")*(DREAMH!$AA$2:$AA$766="Sinh hoạt nhóm"))</f>
        <v>0</v>
      </c>
      <c r="F37" s="81" cm="1">
        <f t="array" ref="F37">SUMPRODUCT((DREAMH!$D$2:$D$766="Liên minh hạnh phúc")*(DREAMH!$B$2:$B$766="F2. Truyền thông, sinh hoạt nhóm, vòng tròn chia sẻ, trị liệu nghệ thuật")*(DREAMH!$AA$2:$AA$766="Sinh hoạt nhóm")*(INDEX(DREAMH!$K$2:$K$766,MATCH(DREAMH!$A$2:$A$766,DREAMH!$A$2:$A$766,0))="Người sử dụng ma túy (PUD)"))</f>
        <v>0</v>
      </c>
      <c r="G37" s="81" cm="1">
        <f t="array" ref="G37">SUMPRODUCT((DREAMH!$D$2:$D$766="Liên minh hạnh phúc")*(DREAMH!$B$2:$B$766="F2. Truyền thông, sinh hoạt nhóm, vòng tròn chia sẻ, trị liệu nghệ thuật")*(DREAMH!$AA$2:$AA$766="Sinh hoạt nhóm")*(INDEX(DREAMH!$K$2:$K$766,MATCH(DREAMH!$A$2:$A$766,DREAMH!$A$2:$A$766,0))="Người sống chung với HIV (PLHIV)"))</f>
        <v>0</v>
      </c>
      <c r="H37" s="81" cm="1">
        <f t="array" ref="H37">SUMPRODUCT((DREAMH!$D$2:$D$766="Liên minh hạnh phúc")*(DREAMH!$B$2:$B$766="F2. Truyền thông, sinh hoạt nhóm, vòng tròn chia sẻ, trị liệu nghệ thuật")*(DREAMH!$AA$2:$AA$766="Sinh hoạt nhóm")*(INDEX(DREAMH!$K$2:$K$766,MATCH(DREAMH!$A$2:$A$766,DREAMH!$A$2:$A$766,0))="Người chuyển giới (TG)"))</f>
        <v>0</v>
      </c>
      <c r="I37" s="78" cm="1">
        <f t="array" ref="I37">SUMPRODUCT((DREAMH!$D$2:$D$766="Liên minh hạnh phúc")*(DREAMH!$B$2:$B$766="F2. Truyền thông, sinh hoạt nhóm, vòng tròn chia sẻ, trị liệu nghệ thuật")*(DREAMH!$AA$2:$AA$766="Sinh hoạt nhóm")*(INDEX(DREAMH!$K$2:$K$766,MATCH(DREAMH!$A$2:$A$766,DREAMH!$A$2:$A$766,0))="Người bán dâm (SW)"))</f>
        <v>0</v>
      </c>
      <c r="J37" s="78" cm="1">
        <f t="array" ref="J37">SUMPRODUCT((DREAMH!$D$2:$D$766="Liên minh hạnh phúc")*(DREAMH!$B$2:$B$766="F2. Truyền thông, sinh hoạt nhóm, vòng tròn chia sẻ, trị liệu nghệ thuật")*(DREAMH!$AA$2:$AA$766="Sinh hoạt nhóm")*(INDEX(DREAMH!$K$2:$K$766,MATCH(DREAMH!$A$2:$A$766,DREAMH!$A$2:$A$766,0))="Nam quan hệ tình dục đồng giới (MSM)"))</f>
        <v>0</v>
      </c>
      <c r="K37" s="37" t="s">
        <v>35</v>
      </c>
      <c r="L37" s="37" t="s">
        <v>35</v>
      </c>
      <c r="M37" s="37" t="s">
        <v>35</v>
      </c>
      <c r="N37" s="37" t="s">
        <v>35</v>
      </c>
      <c r="O37" s="84" t="s">
        <v>78</v>
      </c>
      <c r="P37" s="31" t="s">
        <v>60</v>
      </c>
    </row>
    <row r="38" spans="2:16" ht="18" customHeight="1" x14ac:dyDescent="0.3">
      <c r="B38" s="39">
        <v>4</v>
      </c>
      <c r="C38" s="45" t="s">
        <v>79</v>
      </c>
      <c r="D38" s="62"/>
      <c r="E38" s="81" cm="1">
        <f t="array" ref="E38">SUMPRODUCT(((DREAMH!$D$2:$D$766="Liên minh hạnh phúc")*(DREAMH!$B$2:$B$766="F2.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F38" s="81" cm="1">
        <f t="array" ref="F38">SUMPRODUCT(((DREAMH!$D$2:$D$766="Liên minh hạnh phúc")*(DREAMH!$B$2:$B$766="F2. Truyền thông, sinh hoạt nhóm, vòng tròn chia sẻ, trị liệu nghệ thuật")*(DREAMH!$AA$2:$AA$766="Sinh hoạt nhóm"))*(INDEX(DREAMH!$K$2:$K$766,MATCH(DREAMH!$A$2:$A$766,DREAMH!$A$2:$A$766,0))="Người sử dụng ma túy (PUD)")/(COUNTIFS(DREAMH!$A$2:$A$766,DREAMH!$A$2:$A$766,DREAMH!$B$2:$B$766,"F2.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G38" s="81" cm="1">
        <f t="array" ref="G38">SUMPRODUCT(((DREAMH!$D$2:$D$766="Liên minh hạnh phúc")*(DREAMH!$B$2:$B$766="F2. Truyền thông, sinh hoạt nhóm, vòng tròn chia sẻ, trị liệu nghệ thuật")*(DREAMH!$AA$2:$AA$766="Sinh hoạt nhóm"))*(INDEX(DREAMH!$K$2:$K$766,MATCH(DREAMH!$A$2:$A$766,DREAMH!$A$2:$A$766,0))="Người sống chung với HIV (PLHIV)")/(COUNTIFS(DREAMH!$A$2:$A$766,DREAMH!$A$2:$A$766,DREAMH!$B$2:$B$766,"F2.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H38" s="81" cm="1">
        <f t="array" ref="H38">SUMPRODUCT(((DREAMH!$D$2:$D$766="Liên minh hạnh phúc")*(DREAMH!$B$2:$B$766="F2. Truyền thông, sinh hoạt nhóm, vòng tròn chia sẻ, trị liệu nghệ thuật")*(DREAMH!$AA$2:$AA$766="Sinh hoạt nhóm"))*(INDEX(DREAMH!$K$2:$K$766,MATCH(DREAMH!$A$2:$A$766,DREAMH!$A$2:$A$766,0))="Người chuyển giới (TG)")/(COUNTIFS(DREAMH!$A$2:$A$766,DREAMH!$A$2:$A$766,DREAMH!$B$2:$B$766,"F2.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I38" s="78" cm="1">
        <f t="array" ref="I38">SUMPRODUCT(((DREAMH!$D$2:$D$766="Liên minh hạnh phúc")*(DREAMH!$B$2:$B$766="F2. Truyền thông, sinh hoạt nhóm, vòng tròn chia sẻ, trị liệu nghệ thuật")*(DREAMH!$AA$2:$AA$766="Sinh hoạt nhóm"))*(INDEX(DREAMH!$K$2:$K$766,MATCH(DREAMH!$A$2:$A$766,DREAMH!$A$2:$A$766,0))="Người bán dâm (SW)")/(COUNTIFS(DREAMH!$A$2:$A$766,DREAMH!$A$2:$A$766,DREAMH!$B$2:$B$766,"F2.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J38" s="78" cm="1">
        <f t="array" ref="J38">SUMPRODUCT(((DREAMH!$D$2:$D$766="Liên minh hạnh phúc")*(DREAMH!$B$2:$B$766="F2. Truyền thông, sinh hoạt nhóm, vòng tròn chia sẻ, trị liệu nghệ thuật")*(DREAMH!$AA$2:$AA$766="Sinh hoạt nhóm"))*(INDEX(DREAMH!$K$2:$K$766,MATCH(DREAMH!$A$2:$A$766,DREAMH!$A$2:$A$766,0))="Nam quan hệ tình dục đồng giới (MSM)")/(COUNTIFS(DREAMH!$A$2:$A$766,DREAMH!$A$2:$A$766,DREAMH!$B$2:$B$766,"F2. Truyền thông, sinh hoạt nhóm, vòng tròn chia sẻ, trị liệu nghệ thuật",DREAMH!$AA$2:$AA$766,"Sinh hoạt nhóm")+(COUNTIFS(DREAMH!$A$2:$A$766,DREAMH!$A$2:$A$766,DREAMH!$B$2:$B$766,"F2. Truyền thông, sinh hoạt nhóm, vòng tròn chia sẻ, trị liệu nghệ thuật",DREAMH!$AA$2:$AA$766,"Sinh hoạt nhóm")=0)))</f>
        <v>0</v>
      </c>
      <c r="K38" s="37" t="s">
        <v>35</v>
      </c>
      <c r="L38" s="37" t="s">
        <v>35</v>
      </c>
      <c r="M38" s="37" t="s">
        <v>35</v>
      </c>
      <c r="N38" s="37" t="s">
        <v>35</v>
      </c>
      <c r="O38" s="84"/>
      <c r="P38" s="31"/>
    </row>
    <row r="39" spans="2:16" ht="18" customHeight="1" x14ac:dyDescent="0.3">
      <c r="B39" s="39">
        <v>5</v>
      </c>
      <c r="C39" s="45" t="s">
        <v>80</v>
      </c>
      <c r="D39" s="62"/>
      <c r="E39" s="81" cm="1">
        <f t="array" ref="E39">SUMPRODUCT((DREAMH!$D$2:$D$766="Liên minh hạnh phúc")*(DREAMH!$B$2:$B$766="F2. Truyền thông, sinh hoạt nhóm, vòng tròn chia sẻ, trị liệu nghệ thuật")*(DREAMH!$AA$2:$AA$766="Can thiệp chữa lành"))</f>
        <v>0</v>
      </c>
      <c r="F39" s="81" cm="1">
        <f t="array" ref="F39">SUMPRODUCT((DREAMH!$D$2:$D$766="Liên minh hạnh phúc")*(DREAMH!$B$2:$B$766="F2. Truyền thông, sinh hoạt nhóm, vòng tròn chia sẻ, trị liệu nghệ thuật")*(DREAMH!$AA$2:$AA$766="Can thiệp chữa lành")*(INDEX(DREAMH!$K$2:$K$766,MATCH(DREAMH!$A$2:$A$766,DREAMH!$A$2:$A$766,0))="Người sử dụng ma túy (PUD)"))</f>
        <v>0</v>
      </c>
      <c r="G39" s="81" cm="1">
        <f t="array" ref="G39">SUMPRODUCT((DREAMH!$D$2:$D$766="Liên minh hạnh phúc")*(DREAMH!$B$2:$B$766="F2. Truyền thông, sinh hoạt nhóm, vòng tròn chia sẻ, trị liệu nghệ thuật")*(DREAMH!$AA$2:$AA$766="Can thiệp chữa lành")*(INDEX(DREAMH!$K$2:$K$766,MATCH(DREAMH!$A$2:$A$766,DREAMH!$A$2:$A$766,0))="Người sống chung với HIV (PLHIV)"))</f>
        <v>0</v>
      </c>
      <c r="H39" s="81" cm="1">
        <f t="array" ref="H39">SUMPRODUCT((DREAMH!$D$2:$D$766="Liên minh hạnh phúc")*(DREAMH!$B$2:$B$766="F2. Truyền thông, sinh hoạt nhóm, vòng tròn chia sẻ, trị liệu nghệ thuật")*(DREAMH!$AA$2:$AA$766="Can thiệp chữa lành")*(INDEX(DREAMH!$K$2:$K$766,MATCH(DREAMH!$A$2:$A$766,DREAMH!$A$2:$A$766,0))="Người chuyển giới (TG)"))</f>
        <v>0</v>
      </c>
      <c r="I39" s="78" cm="1">
        <f t="array" ref="I39">SUMPRODUCT((DREAMH!$D$2:$D$766="Liên minh hạnh phúc")*(DREAMH!$B$2:$B$766="F2. Truyền thông, sinh hoạt nhóm, vòng tròn chia sẻ, trị liệu nghệ thuật")*(DREAMH!$AA$2:$AA$766="Can thiệp chữa lành")*(INDEX(DREAMH!$K$2:$K$766,MATCH(DREAMH!$A$2:$A$766,DREAMH!$A$2:$A$766,0))="Người bán dâm (SW)"))</f>
        <v>0</v>
      </c>
      <c r="J39" s="78" cm="1">
        <f t="array" ref="J39">SUMPRODUCT((DREAMH!$D$2:$D$766="Liên minh hạnh phúc")*(DREAMH!$B$2:$B$766="F2. Truyền thông, sinh hoạt nhóm, vòng tròn chia sẻ, trị liệu nghệ thuật")*(DREAMH!$AA$2:$AA$766="Can thiệp chữa lành")*(INDEX(DREAMH!$K$2:$K$766,MATCH(DREAMH!$A$2:$A$766,DREAMH!$A$2:$A$766,0))="Nam quan hệ tình dục đồng giới (MSM)"))</f>
        <v>0</v>
      </c>
      <c r="K39" s="37" t="s">
        <v>35</v>
      </c>
      <c r="L39" s="37" t="s">
        <v>35</v>
      </c>
      <c r="M39" s="37" t="s">
        <v>35</v>
      </c>
      <c r="N39" s="37" t="s">
        <v>35</v>
      </c>
      <c r="O39" s="84"/>
      <c r="P39" s="31"/>
    </row>
    <row r="40" spans="2:16" ht="18" customHeight="1" x14ac:dyDescent="0.3">
      <c r="B40" s="20">
        <v>6</v>
      </c>
      <c r="C40" s="56" t="s">
        <v>81</v>
      </c>
      <c r="D40" s="62"/>
      <c r="E40" s="81" cm="1">
        <f t="array" ref="E40">SUMPRODUCT(((DREAMH!$D$2:$D$766="Liên minh hạnh phúc")*(DREAMH!$B$2:$B$766="F2.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F40" s="81" cm="1">
        <f t="array" ref="F40">SUMPRODUCT(((DREAMH!$D$2:$D$766="Liên minh hạnh phúc")*(DREAMH!$B$2:$B$766="F2. Truyền thông, sinh hoạt nhóm, vòng tròn chia sẻ, trị liệu nghệ thuật")*(DREAMH!$AA$2:$AA$766="Can thiệp chữa lành"))*(INDEX(DREAMH!$K$2:$K$766,MATCH(DREAMH!$A$2:$A$766,DREAMH!$A$2:$A$766,0))="Người sử dụng ma túy (PUD)")/(COUNTIFS(DREAMH!$A$2:$A$766,DREAMH!$A$2:$A$766,DREAMH!$B$2:$B$766,"F2.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G40" s="81" cm="1">
        <f t="array" ref="G40">SUMPRODUCT(((DREAMH!$D$2:$D$766="Liên minh hạnh phúc")*(DREAMH!$B$2:$B$766="F2. Truyền thông, sinh hoạt nhóm, vòng tròn chia sẻ, trị liệu nghệ thuật")*(DREAMH!$AA$2:$AA$766="Can thiệp chữa lành"))*(INDEX(DREAMH!$K$2:$K$766,MATCH(DREAMH!$A$2:$A$766,DREAMH!$A$2:$A$766,0))="Người sống chung với HIV (PLHIV)")/(COUNTIFS(DREAMH!$A$2:$A$766,DREAMH!$A$2:$A$766,DREAMH!$B$2:$B$766,"F2.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H40" s="81" cm="1">
        <f t="array" ref="H40">SUMPRODUCT(((DREAMH!$D$2:$D$766="Liên minh hạnh phúc")*(DREAMH!$B$2:$B$766="F2. Truyền thông, sinh hoạt nhóm, vòng tròn chia sẻ, trị liệu nghệ thuật")*(DREAMH!$AA$2:$AA$766="Can thiệp chữa lành"))*(INDEX(DREAMH!$K$2:$K$766,MATCH(DREAMH!$A$2:$A$766,DREAMH!$A$2:$A$766,0))="Người chuyển giới (TG)")/(COUNTIFS(DREAMH!$A$2:$A$766,DREAMH!$A$2:$A$766,DREAMH!$B$2:$B$766,"F2.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I40" s="78" cm="1">
        <f t="array" ref="I40">SUMPRODUCT(((DREAMH!$D$2:$D$766="Liên minh hạnh phúc")*(DREAMH!$B$2:$B$766="F2. Truyền thông, sinh hoạt nhóm, vòng tròn chia sẻ, trị liệu nghệ thuật")*(DREAMH!$AA$2:$AA$766="Can thiệp chữa lành"))*(INDEX(DREAMH!$K$2:$K$766,MATCH(DREAMH!$A$2:$A$766,DREAMH!$A$2:$A$766,0))="Người bán dâm (SW)")/(COUNTIFS(DREAMH!$A$2:$A$766,DREAMH!$A$2:$A$766,DREAMH!$B$2:$B$766,"F2.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J40" s="78" cm="1">
        <f t="array" ref="J40">SUMPRODUCT(((DREAMH!$D$2:$D$766="Liên minh hạnh phúc")*(DREAMH!$B$2:$B$766="F2. Truyền thông, sinh hoạt nhóm, vòng tròn chia sẻ, trị liệu nghệ thuật")*(DREAMH!$AA$2:$AA$766="Can thiệp chữa lành"))*(INDEX(DREAMH!$K$2:$K$766,MATCH(DREAMH!$A$2:$A$766,DREAMH!$A$2:$A$766,0))="Nam quan hệ tình dục đồng giới (MSM)")/(COUNTIFS(DREAMH!$A$2:$A$766,DREAMH!$A$2:$A$766,DREAMH!$B$2:$B$766,"F2. Truyền thông, sinh hoạt nhóm, vòng tròn chia sẻ, trị liệu nghệ thuật",DREAMH!$AA$2:$AA$766,"Can thiệp chữa lành")+(COUNTIFS(DREAMH!$A$2:$A$766,DREAMH!$A$2:$A$766,DREAMH!$B$2:$B$766,"F2. Truyền thông, sinh hoạt nhóm, vòng tròn chia sẻ, trị liệu nghệ thuật",DREAMH!$AA$2:$AA$766,"Can thiệp chữa lành")=0)))</f>
        <v>0</v>
      </c>
      <c r="K40" s="37" t="s">
        <v>35</v>
      </c>
      <c r="L40" s="37" t="s">
        <v>35</v>
      </c>
      <c r="M40" s="37" t="s">
        <v>35</v>
      </c>
      <c r="N40" s="37" t="s">
        <v>35</v>
      </c>
      <c r="O40" s="84"/>
      <c r="P40" s="31"/>
    </row>
    <row r="41" spans="2:16" s="8" customFormat="1" ht="18" customHeight="1" x14ac:dyDescent="0.3">
      <c r="B41" s="47" t="s">
        <v>82</v>
      </c>
      <c r="C41" s="63" t="s">
        <v>83</v>
      </c>
      <c r="D41" s="64"/>
      <c r="E41" s="6"/>
      <c r="F41" s="6"/>
      <c r="G41" s="6"/>
      <c r="H41" s="6"/>
      <c r="I41" s="41"/>
      <c r="J41" s="41"/>
      <c r="K41" s="54"/>
      <c r="L41" s="54"/>
      <c r="M41" s="54"/>
      <c r="N41" s="54"/>
      <c r="O41" s="65"/>
      <c r="P41" s="31"/>
    </row>
    <row r="42" spans="2:16" ht="22.5" customHeight="1" x14ac:dyDescent="0.3">
      <c r="B42" s="20">
        <v>1</v>
      </c>
      <c r="C42" s="85" t="s">
        <v>84</v>
      </c>
      <c r="D42" s="85"/>
      <c r="E42" s="19"/>
      <c r="F42" s="19"/>
      <c r="G42" s="19"/>
      <c r="H42" s="19"/>
      <c r="I42" s="34"/>
      <c r="J42" s="34"/>
      <c r="K42" s="37" t="s">
        <v>35</v>
      </c>
      <c r="L42" s="37" t="s">
        <v>35</v>
      </c>
      <c r="M42" s="37" t="s">
        <v>35</v>
      </c>
      <c r="N42" s="37" t="s">
        <v>35</v>
      </c>
      <c r="O42" s="86" t="s">
        <v>85</v>
      </c>
      <c r="P42" s="31" t="s">
        <v>86</v>
      </c>
    </row>
    <row r="43" spans="2:16" ht="22.5" customHeight="1" x14ac:dyDescent="0.25">
      <c r="B43" s="20">
        <v>2</v>
      </c>
      <c r="C43" s="85" t="s">
        <v>87</v>
      </c>
      <c r="D43" s="85"/>
      <c r="E43" s="36"/>
      <c r="F43" s="36"/>
      <c r="G43" s="36"/>
      <c r="H43" s="36"/>
      <c r="I43" s="34"/>
      <c r="J43" s="34"/>
      <c r="K43" s="37" t="s">
        <v>35</v>
      </c>
      <c r="L43" s="37" t="s">
        <v>35</v>
      </c>
      <c r="M43" s="37" t="s">
        <v>35</v>
      </c>
      <c r="N43" s="37" t="s">
        <v>35</v>
      </c>
      <c r="O43" s="86"/>
      <c r="P43" s="31" t="s">
        <v>86</v>
      </c>
    </row>
    <row r="44" spans="2:16" ht="18" customHeight="1" x14ac:dyDescent="0.25">
      <c r="B44" s="26" t="s">
        <v>88</v>
      </c>
      <c r="C44" s="4" t="s">
        <v>89</v>
      </c>
      <c r="D44" s="66"/>
      <c r="E44" s="36"/>
      <c r="F44" s="36"/>
      <c r="G44" s="36"/>
      <c r="H44" s="36"/>
      <c r="I44" s="34"/>
      <c r="J44" s="34"/>
      <c r="K44" s="37"/>
      <c r="L44" s="37"/>
      <c r="M44" s="37"/>
      <c r="N44" s="37"/>
      <c r="O44" s="38"/>
      <c r="P44" s="31"/>
    </row>
    <row r="45" spans="2:16" ht="16.5" customHeight="1" x14ac:dyDescent="0.25">
      <c r="B45" s="87">
        <v>1</v>
      </c>
      <c r="C45" s="88" t="s">
        <v>90</v>
      </c>
      <c r="D45" s="67" t="s">
        <v>91</v>
      </c>
      <c r="E45" s="36"/>
      <c r="F45" s="36"/>
      <c r="G45" s="36"/>
      <c r="H45" s="36"/>
      <c r="I45" s="34"/>
      <c r="J45" s="34"/>
      <c r="K45" s="37" t="s">
        <v>35</v>
      </c>
      <c r="L45" s="37" t="s">
        <v>35</v>
      </c>
      <c r="M45" s="37" t="s">
        <v>35</v>
      </c>
      <c r="N45" s="37" t="s">
        <v>35</v>
      </c>
      <c r="O45" s="89" t="s">
        <v>92</v>
      </c>
      <c r="P45" s="31"/>
    </row>
    <row r="46" spans="2:16" ht="16.5" customHeight="1" x14ac:dyDescent="0.25">
      <c r="B46" s="87"/>
      <c r="C46" s="87"/>
      <c r="D46" s="67" t="s">
        <v>93</v>
      </c>
      <c r="E46" s="36"/>
      <c r="F46" s="36"/>
      <c r="G46" s="36"/>
      <c r="H46" s="36"/>
      <c r="I46" s="34"/>
      <c r="J46" s="34"/>
      <c r="K46" s="37" t="s">
        <v>35</v>
      </c>
      <c r="L46" s="37" t="s">
        <v>35</v>
      </c>
      <c r="M46" s="37" t="s">
        <v>35</v>
      </c>
      <c r="N46" s="37" t="s">
        <v>35</v>
      </c>
      <c r="O46" s="89"/>
      <c r="P46" s="31"/>
    </row>
    <row r="47" spans="2:16" ht="16.5" customHeight="1" x14ac:dyDescent="0.25">
      <c r="B47" s="87"/>
      <c r="C47" s="87"/>
      <c r="D47" s="67" t="s">
        <v>94</v>
      </c>
      <c r="E47" s="36"/>
      <c r="F47" s="36"/>
      <c r="G47" s="36"/>
      <c r="H47" s="36"/>
      <c r="I47" s="34"/>
      <c r="J47" s="34"/>
      <c r="K47" s="37" t="s">
        <v>35</v>
      </c>
      <c r="L47" s="37" t="s">
        <v>35</v>
      </c>
      <c r="M47" s="37" t="s">
        <v>35</v>
      </c>
      <c r="N47" s="37" t="s">
        <v>35</v>
      </c>
      <c r="O47" s="89"/>
      <c r="P47" s="31"/>
    </row>
    <row r="48" spans="2:16" ht="16.5" customHeight="1" x14ac:dyDescent="0.25">
      <c r="B48" s="87"/>
      <c r="C48" s="87"/>
      <c r="D48" s="67" t="s">
        <v>95</v>
      </c>
      <c r="E48" s="36"/>
      <c r="F48" s="36"/>
      <c r="G48" s="36"/>
      <c r="H48" s="36"/>
      <c r="I48" s="34"/>
      <c r="J48" s="34"/>
      <c r="K48" s="37" t="s">
        <v>35</v>
      </c>
      <c r="L48" s="37" t="s">
        <v>35</v>
      </c>
      <c r="M48" s="37" t="s">
        <v>35</v>
      </c>
      <c r="N48" s="37" t="s">
        <v>35</v>
      </c>
      <c r="O48" s="89"/>
      <c r="P48" s="31"/>
    </row>
    <row r="49" spans="1:16" ht="16.5" customHeight="1" x14ac:dyDescent="0.25">
      <c r="B49" s="87"/>
      <c r="C49" s="87"/>
      <c r="D49" s="67" t="s">
        <v>96</v>
      </c>
      <c r="E49" s="36"/>
      <c r="F49" s="36"/>
      <c r="G49" s="36"/>
      <c r="H49" s="36"/>
      <c r="I49" s="34"/>
      <c r="J49" s="34"/>
      <c r="K49" s="37" t="s">
        <v>35</v>
      </c>
      <c r="L49" s="37" t="s">
        <v>35</v>
      </c>
      <c r="M49" s="37" t="s">
        <v>35</v>
      </c>
      <c r="N49" s="37" t="s">
        <v>35</v>
      </c>
      <c r="O49" s="89"/>
      <c r="P49" s="31"/>
    </row>
    <row r="50" spans="1:16" ht="16.5" customHeight="1" x14ac:dyDescent="0.25">
      <c r="B50" s="87"/>
      <c r="C50" s="87"/>
      <c r="D50" s="67" t="s">
        <v>97</v>
      </c>
      <c r="E50" s="36"/>
      <c r="F50" s="36"/>
      <c r="G50" s="36"/>
      <c r="H50" s="36"/>
      <c r="I50" s="34"/>
      <c r="J50" s="34"/>
      <c r="K50" s="37" t="s">
        <v>35</v>
      </c>
      <c r="L50" s="37" t="s">
        <v>35</v>
      </c>
      <c r="M50" s="37" t="s">
        <v>35</v>
      </c>
      <c r="N50" s="37" t="s">
        <v>35</v>
      </c>
      <c r="O50" s="89"/>
      <c r="P50" s="31"/>
    </row>
    <row r="51" spans="1:16" ht="18" customHeight="1" x14ac:dyDescent="0.25">
      <c r="B51" s="26" t="s">
        <v>98</v>
      </c>
      <c r="C51" s="4" t="s">
        <v>99</v>
      </c>
      <c r="D51" s="3"/>
      <c r="E51" s="1"/>
      <c r="F51" s="1"/>
      <c r="G51" s="1"/>
      <c r="H51" s="1"/>
      <c r="I51" s="34"/>
      <c r="J51" s="34"/>
      <c r="K51" s="37"/>
      <c r="L51" s="37"/>
      <c r="M51" s="37"/>
      <c r="N51" s="37"/>
      <c r="O51" s="38"/>
      <c r="P51" s="31"/>
    </row>
    <row r="52" spans="1:16" ht="63" customHeight="1" x14ac:dyDescent="0.25">
      <c r="B52" s="20">
        <v>1</v>
      </c>
      <c r="C52" s="3" t="s">
        <v>100</v>
      </c>
      <c r="D52" s="3"/>
      <c r="E52" s="1"/>
      <c r="F52" s="1"/>
      <c r="G52" s="1"/>
      <c r="H52" s="1"/>
      <c r="I52" s="34"/>
      <c r="J52" s="34"/>
      <c r="K52" s="37" t="s">
        <v>35</v>
      </c>
      <c r="L52" s="37" t="s">
        <v>35</v>
      </c>
      <c r="M52" s="37" t="s">
        <v>35</v>
      </c>
      <c r="N52" s="37" t="s">
        <v>35</v>
      </c>
      <c r="O52" s="82" t="s">
        <v>101</v>
      </c>
      <c r="P52" s="31"/>
    </row>
    <row r="53" spans="1:16" ht="63" customHeight="1" x14ac:dyDescent="0.25">
      <c r="B53" s="20">
        <v>2</v>
      </c>
      <c r="C53" s="3" t="s">
        <v>102</v>
      </c>
      <c r="D53" s="3"/>
      <c r="E53" s="1"/>
      <c r="F53" s="1"/>
      <c r="G53" s="1"/>
      <c r="H53" s="1"/>
      <c r="I53" s="34"/>
      <c r="J53" s="34"/>
      <c r="K53" s="37" t="s">
        <v>35</v>
      </c>
      <c r="L53" s="37" t="s">
        <v>35</v>
      </c>
      <c r="M53" s="37" t="s">
        <v>35</v>
      </c>
      <c r="N53" s="37" t="s">
        <v>35</v>
      </c>
      <c r="O53" s="82"/>
      <c r="P53" s="31"/>
    </row>
    <row r="54" spans="1:16" ht="15" customHeight="1" x14ac:dyDescent="0.25">
      <c r="P54" s="68"/>
    </row>
    <row r="55" spans="1:16" ht="14.25" customHeight="1" x14ac:dyDescent="0.25">
      <c r="B55" s="69"/>
      <c r="E55" s="70"/>
      <c r="F55" s="70"/>
    </row>
    <row r="56" spans="1:16" ht="16.5" customHeight="1" x14ac:dyDescent="0.35">
      <c r="A56" s="83"/>
      <c r="B56" s="83"/>
      <c r="C56" s="71"/>
      <c r="E56" s="72"/>
      <c r="F56" s="72"/>
    </row>
  </sheetData>
  <autoFilter ref="B4:O53" xr:uid="{00000000-0009-0000-0000-000003000000}">
    <filterColumn colId="0" hiddenButton="1"/>
  </autoFilter>
  <mergeCells count="26">
    <mergeCell ref="F3:J3"/>
    <mergeCell ref="K3:N3"/>
    <mergeCell ref="C4:D4"/>
    <mergeCell ref="C5:D5"/>
    <mergeCell ref="C6:D6"/>
    <mergeCell ref="C7:D7"/>
    <mergeCell ref="C8:D8"/>
    <mergeCell ref="C9:D9"/>
    <mergeCell ref="C10:D10"/>
    <mergeCell ref="O10:O12"/>
    <mergeCell ref="C11:D11"/>
    <mergeCell ref="C12:D12"/>
    <mergeCell ref="C14:D14"/>
    <mergeCell ref="C19:D19"/>
    <mergeCell ref="O25:O29"/>
    <mergeCell ref="O31:O36"/>
    <mergeCell ref="C33:D33"/>
    <mergeCell ref="O52:O53"/>
    <mergeCell ref="A56:B56"/>
    <mergeCell ref="O37:O40"/>
    <mergeCell ref="C42:D42"/>
    <mergeCell ref="O42:O43"/>
    <mergeCell ref="C43:D43"/>
    <mergeCell ref="B45:B50"/>
    <mergeCell ref="C45:C50"/>
    <mergeCell ref="O45:O50"/>
  </mergeCells>
  <pageMargins left="0.7" right="0.7" top="0.75" bottom="0.75" header="0.511811023622047" footer="0.511811023622047"/>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B766"/>
  <sheetViews>
    <sheetView topLeftCell="A22" zoomScaleNormal="100" workbookViewId="0">
      <selection activeCell="B30" sqref="B30"/>
    </sheetView>
  </sheetViews>
  <sheetFormatPr defaultColWidth="8.59765625" defaultRowHeight="13.8" x14ac:dyDescent="0.25"/>
  <cols>
    <col min="1" max="1" width="11.69921875" customWidth="1"/>
    <col min="2" max="2" width="59.19921875" customWidth="1"/>
    <col min="3" max="3" width="17.3984375" customWidth="1"/>
    <col min="4" max="4" width="20" customWidth="1"/>
    <col min="5" max="5" width="15.19921875" customWidth="1"/>
    <col min="6" max="6" width="59.69921875" customWidth="1"/>
    <col min="7" max="7" width="27.09765625" customWidth="1"/>
    <col min="8" max="8" width="42.09765625" customWidth="1"/>
    <col min="9" max="9" width="35" customWidth="1"/>
    <col min="10" max="10" width="29.3984375" customWidth="1"/>
    <col min="11" max="11" width="47.3984375" customWidth="1"/>
    <col min="12" max="12" width="55.5" customWidth="1"/>
    <col min="13" max="13" width="75.69921875" customWidth="1"/>
    <col min="14" max="14" width="81" customWidth="1"/>
    <col min="15" max="15" width="71.19921875" customWidth="1"/>
    <col min="16" max="16" width="81" customWidth="1"/>
    <col min="17" max="17" width="68.19921875" customWidth="1"/>
    <col min="18" max="18" width="33.19921875" customWidth="1"/>
    <col min="19" max="19" width="50.59765625" customWidth="1"/>
    <col min="20" max="20" width="37.09765625" customWidth="1"/>
    <col min="21" max="21" width="68.19921875" customWidth="1"/>
    <col min="22" max="22" width="40.69921875" customWidth="1"/>
    <col min="23" max="23" width="61.69921875" customWidth="1"/>
    <col min="24" max="24" width="54.5" customWidth="1"/>
    <col min="25" max="25" width="55.5" customWidth="1"/>
    <col min="26" max="26" width="12.5" customWidth="1"/>
    <col min="27" max="27" width="21.09765625" customWidth="1"/>
    <col min="28" max="28" width="16.3984375" customWidth="1"/>
    <col min="29" max="29" width="18.5" customWidth="1"/>
    <col min="30" max="31" width="20.59765625" customWidth="1"/>
    <col min="32" max="32" width="14.69921875" customWidth="1"/>
    <col min="33" max="33" width="46.69921875" customWidth="1"/>
    <col min="34" max="34" width="14.19921875" customWidth="1"/>
    <col min="35" max="35" width="46.5" customWidth="1"/>
    <col min="36" max="36" width="62" customWidth="1"/>
    <col min="37" max="37" width="70.69921875" customWidth="1"/>
    <col min="38" max="38" width="56" customWidth="1"/>
    <col min="39" max="39" width="58" customWidth="1"/>
    <col min="40" max="40" width="58.3984375" customWidth="1"/>
    <col min="41" max="41" width="28.69921875" customWidth="1"/>
    <col min="42" max="42" width="14.5" customWidth="1"/>
    <col min="43" max="43" width="18.3984375" customWidth="1"/>
    <col min="44" max="44" width="17.69921875" customWidth="1"/>
    <col min="45" max="46" width="19.8984375" customWidth="1"/>
    <col min="47" max="47" width="37.69921875" customWidth="1"/>
    <col min="48" max="48" width="36.3984375" customWidth="1"/>
    <col min="49" max="49" width="58.59765625" customWidth="1"/>
    <col min="50" max="50" width="20" customWidth="1"/>
    <col min="51" max="51" width="36.69921875" customWidth="1"/>
    <col min="52" max="52" width="57.09765625" customWidth="1"/>
    <col min="53" max="53" width="58.69921875" customWidth="1"/>
    <col min="54" max="54" width="81" customWidth="1"/>
    <col min="55" max="55" width="11.8984375" customWidth="1"/>
    <col min="56" max="56" width="14.5" customWidth="1"/>
    <col min="57" max="57" width="29.59765625" customWidth="1"/>
    <col min="58" max="58" width="20.59765625" customWidth="1"/>
    <col min="59" max="59" width="42.8984375" customWidth="1"/>
    <col min="60" max="60" width="57.09765625" customWidth="1"/>
    <col min="61" max="61" width="47.09765625" customWidth="1"/>
    <col min="62" max="62" width="46.19921875" customWidth="1"/>
    <col min="63" max="63" width="53.5" customWidth="1"/>
    <col min="64" max="64" width="40.69921875" customWidth="1"/>
    <col min="65" max="65" width="41" customWidth="1"/>
    <col min="66" max="66" width="39.69921875" customWidth="1"/>
    <col min="67" max="67" width="31.5" customWidth="1"/>
    <col min="68" max="68" width="17.3984375" customWidth="1"/>
    <col min="69" max="69" width="14.5" customWidth="1"/>
    <col min="70" max="70" width="13.19921875" customWidth="1"/>
    <col min="71" max="71" width="19.19921875" customWidth="1"/>
    <col min="72" max="72" width="33" customWidth="1"/>
    <col min="73" max="73" width="16.3984375" customWidth="1"/>
    <col min="74" max="74" width="17.69921875" customWidth="1"/>
    <col min="75" max="75" width="45.8984375" customWidth="1"/>
    <col min="76" max="76" width="23.3984375" customWidth="1"/>
    <col min="77" max="77" width="19.5" customWidth="1"/>
    <col min="78" max="78" width="28" customWidth="1"/>
    <col min="79" max="79" width="40.19921875" customWidth="1"/>
    <col min="80" max="87" width="81" customWidth="1"/>
    <col min="88" max="88" width="7.3984375" customWidth="1"/>
    <col min="89" max="89" width="58.59765625" customWidth="1"/>
    <col min="90" max="90" width="29.59765625" customWidth="1"/>
    <col min="91" max="91" width="43" customWidth="1"/>
    <col min="92" max="92" width="22.19921875" customWidth="1"/>
    <col min="93" max="93" width="13.5" customWidth="1"/>
    <col min="94" max="94" width="11.8984375" customWidth="1"/>
    <col min="95" max="95" width="39.69921875" customWidth="1"/>
    <col min="96" max="96" width="36.5" customWidth="1"/>
    <col min="97" max="97" width="41.19921875" customWidth="1"/>
    <col min="98" max="98" width="40" customWidth="1"/>
    <col min="99" max="99" width="32.69921875" customWidth="1"/>
    <col min="100" max="100" width="11.8984375" customWidth="1"/>
    <col min="101" max="101" width="15.59765625" customWidth="1"/>
    <col min="102" max="102" width="15.5" customWidth="1"/>
    <col min="103" max="103" width="23" customWidth="1"/>
    <col min="104" max="104" width="22.8984375" customWidth="1"/>
    <col min="105" max="105" width="13.19921875" customWidth="1"/>
    <col min="106" max="106" width="20.69921875" customWidth="1"/>
    <col min="107" max="107" width="22.5" customWidth="1"/>
    <col min="108" max="108" width="11.8984375" customWidth="1"/>
    <col min="109" max="109" width="75.5" customWidth="1"/>
    <col min="110" max="110" width="34.8984375" customWidth="1"/>
    <col min="111" max="111" width="20.59765625" customWidth="1"/>
    <col min="112" max="112" width="36.5" customWidth="1"/>
    <col min="113" max="113" width="27.69921875" customWidth="1"/>
    <col min="114" max="118" width="81" customWidth="1"/>
    <col min="119" max="119" width="18" customWidth="1"/>
    <col min="120" max="120" width="22" customWidth="1"/>
    <col min="121" max="121" width="70" customWidth="1"/>
    <col min="122" max="122" width="71.59765625" customWidth="1"/>
    <col min="123" max="123" width="70.8984375" customWidth="1"/>
    <col min="124" max="124" width="70.69921875" customWidth="1"/>
    <col min="125" max="125" width="72.69921875" customWidth="1"/>
    <col min="126" max="126" width="72.5" customWidth="1"/>
    <col min="127" max="127" width="70.59765625" customWidth="1"/>
    <col min="128" max="128" width="71.19921875" customWidth="1"/>
    <col min="129" max="129" width="72.09765625" customWidth="1"/>
    <col min="130" max="130" width="71" customWidth="1"/>
    <col min="131" max="131" width="71.8984375" customWidth="1"/>
    <col min="132" max="132" width="68" customWidth="1"/>
    <col min="133" max="133" width="71.59765625" customWidth="1"/>
    <col min="134" max="134" width="70.5" customWidth="1"/>
    <col min="135" max="135" width="69.8984375" customWidth="1"/>
    <col min="136" max="136" width="72.09765625" customWidth="1"/>
    <col min="137" max="137" width="71.5" customWidth="1"/>
    <col min="138" max="138" width="69.8984375" customWidth="1"/>
    <col min="139" max="139" width="67.19921875" customWidth="1"/>
    <col min="140" max="140" width="56" customWidth="1"/>
    <col min="141" max="141" width="59.19921875" customWidth="1"/>
    <col min="142" max="142" width="64" customWidth="1"/>
    <col min="143" max="144" width="81" customWidth="1"/>
    <col min="145" max="145" width="44.3984375" customWidth="1"/>
    <col min="146" max="146" width="10.3984375" customWidth="1"/>
    <col min="147" max="147" width="21.09765625" customWidth="1"/>
    <col min="148" max="148" width="81" customWidth="1"/>
    <col min="149" max="149" width="15.59765625" customWidth="1"/>
    <col min="150" max="150" width="14" customWidth="1"/>
    <col min="151" max="151" width="13.5" customWidth="1"/>
    <col min="152" max="154" width="81" customWidth="1"/>
    <col min="155" max="155" width="52.3984375" customWidth="1"/>
    <col min="156" max="156" width="12.19921875" customWidth="1"/>
    <col min="157" max="157" width="13" customWidth="1"/>
    <col min="158" max="158" width="12.19921875" customWidth="1"/>
    <col min="159" max="159" width="13" customWidth="1"/>
    <col min="160" max="160" width="54" customWidth="1"/>
    <col min="161" max="161" width="80.59765625" customWidth="1"/>
    <col min="162" max="163" width="81" customWidth="1"/>
    <col min="164" max="164" width="58.59765625" customWidth="1"/>
    <col min="165" max="165" width="59.5" customWidth="1"/>
    <col min="166" max="166" width="51.8984375" customWidth="1"/>
    <col min="167" max="172" width="81" customWidth="1"/>
    <col min="173" max="173" width="69.3984375" customWidth="1"/>
    <col min="174" max="175" width="81" customWidth="1"/>
    <col min="176" max="176" width="7.3984375" customWidth="1"/>
    <col min="177" max="177" width="64" customWidth="1"/>
    <col min="178" max="178" width="51.59765625" customWidth="1"/>
    <col min="179" max="179" width="68" customWidth="1"/>
    <col min="180" max="180" width="57.59765625" customWidth="1"/>
    <col min="181" max="181" width="78.09765625" customWidth="1"/>
    <col min="182" max="182" width="53.59765625" customWidth="1"/>
    <col min="183" max="183" width="59" customWidth="1"/>
    <col min="184" max="184" width="57.3984375" customWidth="1"/>
    <col min="185" max="185" width="55.8984375" customWidth="1"/>
    <col min="186" max="186" width="53.19921875" customWidth="1"/>
    <col min="187" max="187" width="11.3984375" customWidth="1"/>
    <col min="188" max="188" width="45.5" customWidth="1"/>
    <col min="189" max="189" width="50.69921875" customWidth="1"/>
    <col min="190" max="190" width="41.59765625" customWidth="1"/>
    <col min="191" max="191" width="51.09765625" customWidth="1"/>
    <col min="192" max="192" width="38.3984375" customWidth="1"/>
    <col min="193" max="193" width="37.8984375" customWidth="1"/>
    <col min="194" max="194" width="11.5" customWidth="1"/>
    <col min="195" max="195" width="40.19921875" customWidth="1"/>
    <col min="196" max="196" width="63.69921875" customWidth="1"/>
    <col min="197" max="197" width="59.19921875" customWidth="1"/>
    <col min="198" max="198" width="74.5" customWidth="1"/>
    <col min="199" max="199" width="73.19921875" customWidth="1"/>
    <col min="200" max="200" width="80.3984375" customWidth="1"/>
    <col min="201" max="205" width="81" customWidth="1"/>
    <col min="206" max="206" width="74.8984375" customWidth="1"/>
    <col min="207" max="207" width="11.8984375" customWidth="1"/>
    <col min="208" max="208" width="22.69921875" customWidth="1"/>
    <col min="209" max="209" width="15.59765625" customWidth="1"/>
    <col min="210" max="211" width="13.5" customWidth="1"/>
    <col min="212" max="212" width="30.5" customWidth="1"/>
    <col min="213" max="213" width="13.3984375" customWidth="1"/>
    <col min="214" max="214" width="30.09765625" customWidth="1"/>
    <col min="215" max="215" width="30.5" customWidth="1"/>
    <col min="216" max="216" width="49.3984375" customWidth="1"/>
    <col min="217" max="217" width="48.69921875" customWidth="1"/>
    <col min="218" max="218" width="61" customWidth="1"/>
    <col min="219" max="219" width="55.59765625" customWidth="1"/>
    <col min="220" max="220" width="53.5" customWidth="1"/>
    <col min="221" max="221" width="73.59765625" customWidth="1"/>
    <col min="222" max="222" width="59.69921875" customWidth="1"/>
    <col min="223" max="223" width="59.3984375" customWidth="1"/>
    <col min="224" max="224" width="64.09765625" customWidth="1"/>
    <col min="225" max="225" width="70.09765625" customWidth="1"/>
    <col min="226" max="226" width="57" customWidth="1"/>
    <col min="227" max="227" width="45.8984375" customWidth="1"/>
    <col min="228" max="228" width="62.59765625" customWidth="1"/>
    <col min="229" max="229" width="49.8984375" customWidth="1"/>
    <col min="230" max="230" width="43.3984375" customWidth="1"/>
    <col min="231" max="231" width="40.19921875" customWidth="1"/>
    <col min="232" max="232" width="48.69921875" customWidth="1"/>
    <col min="233" max="233" width="56.59765625" customWidth="1"/>
    <col min="234" max="234" width="34.5" customWidth="1"/>
    <col min="235" max="235" width="57.5" customWidth="1"/>
    <col min="236" max="236" width="13.5" customWidth="1"/>
    <col min="237" max="237" width="38.5" customWidth="1"/>
    <col min="238" max="238" width="32.69921875" customWidth="1"/>
    <col min="239" max="239" width="17.3984375" customWidth="1"/>
    <col min="240" max="240" width="15.09765625" customWidth="1"/>
    <col min="241" max="241" width="23.19921875" customWidth="1"/>
    <col min="242" max="242" width="21.69921875" customWidth="1"/>
    <col min="243" max="243" width="61.8984375" customWidth="1"/>
    <col min="244" max="244" width="53.5" customWidth="1"/>
    <col min="245" max="245" width="60.09765625" customWidth="1"/>
    <col min="246" max="246" width="46.19921875" customWidth="1"/>
    <col min="247" max="247" width="13.3984375" customWidth="1"/>
    <col min="248" max="248" width="14.09765625" customWidth="1"/>
    <col min="249" max="249" width="14.59765625" customWidth="1"/>
    <col min="250" max="251" width="15.59765625" customWidth="1"/>
    <col min="252" max="252" width="39.3984375" customWidth="1"/>
    <col min="253" max="253" width="35" customWidth="1"/>
    <col min="254" max="254" width="34.8984375" customWidth="1"/>
    <col min="255" max="255" width="41.5" customWidth="1"/>
    <col min="256" max="256" width="32" customWidth="1"/>
    <col min="257" max="257" width="10.3984375" customWidth="1"/>
    <col min="258" max="258" width="21" customWidth="1"/>
    <col min="259" max="259" width="20.69921875" customWidth="1"/>
    <col min="260" max="260" width="32.3984375" customWidth="1"/>
    <col min="261" max="261" width="81" customWidth="1"/>
    <col min="262" max="262" width="15.59765625" customWidth="1"/>
  </cols>
  <sheetData>
    <row r="1" spans="1:262" ht="14.25" customHeight="1" x14ac:dyDescent="0.25">
      <c r="A1" t="s">
        <v>103</v>
      </c>
      <c r="B1" t="s">
        <v>104</v>
      </c>
      <c r="C1" t="s">
        <v>105</v>
      </c>
      <c r="D1" t="s">
        <v>106</v>
      </c>
      <c r="E1" t="s">
        <v>107</v>
      </c>
      <c r="F1" t="s">
        <v>108</v>
      </c>
      <c r="G1" t="s">
        <v>109</v>
      </c>
      <c r="H1" t="s">
        <v>110</v>
      </c>
      <c r="I1" t="s">
        <v>111</v>
      </c>
      <c r="J1" t="s">
        <v>112</v>
      </c>
      <c r="K1" t="s">
        <v>113</v>
      </c>
      <c r="L1" t="s">
        <v>114</v>
      </c>
      <c r="M1" t="s">
        <v>115</v>
      </c>
      <c r="N1" t="s">
        <v>116</v>
      </c>
      <c r="O1" t="s">
        <v>117</v>
      </c>
      <c r="P1" t="s">
        <v>118</v>
      </c>
      <c r="Q1" t="s">
        <v>119</v>
      </c>
      <c r="R1" t="s">
        <v>120</v>
      </c>
      <c r="S1" t="s">
        <v>121</v>
      </c>
      <c r="T1" t="s">
        <v>122</v>
      </c>
      <c r="U1" t="s">
        <v>123</v>
      </c>
      <c r="V1" t="s">
        <v>124</v>
      </c>
      <c r="W1" t="s">
        <v>125</v>
      </c>
      <c r="X1" t="s">
        <v>126</v>
      </c>
      <c r="Y1" t="s">
        <v>127</v>
      </c>
      <c r="Z1" t="s">
        <v>128</v>
      </c>
      <c r="AA1" t="s">
        <v>129</v>
      </c>
      <c r="AB1" t="s">
        <v>130</v>
      </c>
      <c r="AC1" t="s">
        <v>131</v>
      </c>
      <c r="AD1" t="s">
        <v>132</v>
      </c>
      <c r="AE1" t="s">
        <v>133</v>
      </c>
      <c r="AF1" t="s">
        <v>134</v>
      </c>
      <c r="AG1" t="s">
        <v>135</v>
      </c>
      <c r="AH1" t="s">
        <v>136</v>
      </c>
      <c r="AI1" t="s">
        <v>137</v>
      </c>
      <c r="AJ1" t="s">
        <v>138</v>
      </c>
      <c r="AK1" t="s">
        <v>139</v>
      </c>
      <c r="AL1" t="s">
        <v>140</v>
      </c>
      <c r="AM1" t="s">
        <v>141</v>
      </c>
      <c r="AN1" t="s">
        <v>142</v>
      </c>
      <c r="AO1" t="s">
        <v>143</v>
      </c>
      <c r="AP1" t="s">
        <v>144</v>
      </c>
      <c r="AQ1" t="s">
        <v>145</v>
      </c>
      <c r="AR1" t="s">
        <v>146</v>
      </c>
      <c r="AS1" t="s">
        <v>147</v>
      </c>
      <c r="AT1" t="s">
        <v>148</v>
      </c>
      <c r="AU1" t="s">
        <v>149</v>
      </c>
      <c r="AV1" t="s">
        <v>150</v>
      </c>
      <c r="AW1" t="s">
        <v>151</v>
      </c>
      <c r="AX1" t="s">
        <v>152</v>
      </c>
      <c r="AY1" t="s">
        <v>153</v>
      </c>
      <c r="AZ1" t="s">
        <v>154</v>
      </c>
      <c r="BA1" t="s">
        <v>155</v>
      </c>
      <c r="BB1" t="s">
        <v>156</v>
      </c>
      <c r="BC1" t="s">
        <v>157</v>
      </c>
      <c r="BD1" t="s">
        <v>158</v>
      </c>
      <c r="BE1" t="s">
        <v>159</v>
      </c>
      <c r="BF1" t="s">
        <v>160</v>
      </c>
      <c r="BG1" t="s">
        <v>161</v>
      </c>
      <c r="BH1" t="s">
        <v>162</v>
      </c>
      <c r="BI1" t="s">
        <v>163</v>
      </c>
      <c r="BJ1" t="s">
        <v>164</v>
      </c>
      <c r="BK1" t="s">
        <v>165</v>
      </c>
      <c r="BL1" t="s">
        <v>166</v>
      </c>
      <c r="BM1" t="s">
        <v>167</v>
      </c>
      <c r="BN1" t="s">
        <v>168</v>
      </c>
      <c r="BO1" t="s">
        <v>169</v>
      </c>
      <c r="BP1" t="s">
        <v>170</v>
      </c>
      <c r="BQ1" t="s">
        <v>171</v>
      </c>
      <c r="BR1" t="s">
        <v>172</v>
      </c>
      <c r="BS1" t="s">
        <v>173</v>
      </c>
      <c r="BT1" t="s">
        <v>174</v>
      </c>
      <c r="BU1" t="s">
        <v>175</v>
      </c>
      <c r="BV1" t="s">
        <v>176</v>
      </c>
      <c r="BW1" t="s">
        <v>177</v>
      </c>
      <c r="BX1" t="s">
        <v>178</v>
      </c>
      <c r="BY1" t="s">
        <v>179</v>
      </c>
      <c r="BZ1" t="s">
        <v>180</v>
      </c>
      <c r="CA1" t="s">
        <v>181</v>
      </c>
      <c r="CB1" t="s">
        <v>182</v>
      </c>
      <c r="CC1" t="s">
        <v>183</v>
      </c>
      <c r="CD1" t="s">
        <v>184</v>
      </c>
      <c r="CE1" t="s">
        <v>185</v>
      </c>
      <c r="CF1" t="s">
        <v>186</v>
      </c>
      <c r="CG1" t="s">
        <v>187</v>
      </c>
      <c r="CH1" t="s">
        <v>188</v>
      </c>
      <c r="CI1" t="s">
        <v>189</v>
      </c>
      <c r="CJ1" t="s">
        <v>190</v>
      </c>
      <c r="CK1" t="s">
        <v>191</v>
      </c>
      <c r="CL1" t="s">
        <v>192</v>
      </c>
      <c r="CM1" t="s">
        <v>193</v>
      </c>
      <c r="CN1" t="s">
        <v>194</v>
      </c>
      <c r="CO1" t="s">
        <v>195</v>
      </c>
      <c r="CP1" t="s">
        <v>196</v>
      </c>
      <c r="CQ1" t="s">
        <v>197</v>
      </c>
      <c r="CR1" t="s">
        <v>198</v>
      </c>
      <c r="CS1" t="s">
        <v>199</v>
      </c>
      <c r="CT1" t="s">
        <v>200</v>
      </c>
      <c r="CU1" t="s">
        <v>201</v>
      </c>
      <c r="CV1" t="s">
        <v>202</v>
      </c>
      <c r="CW1" t="s">
        <v>203</v>
      </c>
      <c r="CX1" t="s">
        <v>204</v>
      </c>
      <c r="CY1" t="s">
        <v>205</v>
      </c>
      <c r="CZ1" t="s">
        <v>206</v>
      </c>
      <c r="DA1" t="s">
        <v>207</v>
      </c>
      <c r="DB1" t="s">
        <v>208</v>
      </c>
      <c r="DC1" t="s">
        <v>209</v>
      </c>
      <c r="DD1" t="s">
        <v>210</v>
      </c>
      <c r="DE1" t="s">
        <v>211</v>
      </c>
      <c r="DF1" t="s">
        <v>212</v>
      </c>
      <c r="DG1" t="s">
        <v>213</v>
      </c>
      <c r="DH1" t="s">
        <v>214</v>
      </c>
      <c r="DI1" t="s">
        <v>215</v>
      </c>
      <c r="DJ1" t="s">
        <v>216</v>
      </c>
      <c r="DK1" t="s">
        <v>217</v>
      </c>
      <c r="DL1" t="s">
        <v>218</v>
      </c>
      <c r="DM1" t="s">
        <v>219</v>
      </c>
      <c r="DN1" t="s">
        <v>220</v>
      </c>
      <c r="DO1" t="s">
        <v>221</v>
      </c>
      <c r="DP1" t="s">
        <v>222</v>
      </c>
      <c r="DQ1" t="s">
        <v>223</v>
      </c>
      <c r="DR1" t="s">
        <v>224</v>
      </c>
      <c r="DS1" t="s">
        <v>225</v>
      </c>
      <c r="DT1" t="s">
        <v>226</v>
      </c>
      <c r="DU1" t="s">
        <v>227</v>
      </c>
      <c r="DV1" t="s">
        <v>228</v>
      </c>
      <c r="DW1" t="s">
        <v>229</v>
      </c>
      <c r="DX1" t="s">
        <v>230</v>
      </c>
      <c r="DY1" t="s">
        <v>231</v>
      </c>
      <c r="DZ1" t="s">
        <v>232</v>
      </c>
      <c r="EA1" t="s">
        <v>233</v>
      </c>
      <c r="EB1" t="s">
        <v>234</v>
      </c>
      <c r="EC1" t="s">
        <v>235</v>
      </c>
      <c r="ED1" t="s">
        <v>236</v>
      </c>
      <c r="EE1" t="s">
        <v>237</v>
      </c>
      <c r="EF1" t="s">
        <v>238</v>
      </c>
      <c r="EG1" t="s">
        <v>239</v>
      </c>
      <c r="EH1" t="s">
        <v>240</v>
      </c>
      <c r="EI1" t="s">
        <v>241</v>
      </c>
      <c r="EJ1" t="s">
        <v>242</v>
      </c>
      <c r="EK1" t="s">
        <v>243</v>
      </c>
      <c r="EL1" t="s">
        <v>244</v>
      </c>
      <c r="EM1" t="s">
        <v>245</v>
      </c>
      <c r="EN1" t="s">
        <v>246</v>
      </c>
      <c r="EO1" t="s">
        <v>247</v>
      </c>
      <c r="EP1" t="s">
        <v>248</v>
      </c>
      <c r="EQ1" t="s">
        <v>249</v>
      </c>
      <c r="ER1" t="s">
        <v>250</v>
      </c>
      <c r="ES1" t="s">
        <v>251</v>
      </c>
      <c r="ET1" t="s">
        <v>252</v>
      </c>
      <c r="EU1" t="s">
        <v>253</v>
      </c>
      <c r="EV1" t="s">
        <v>254</v>
      </c>
      <c r="EW1" t="s">
        <v>255</v>
      </c>
      <c r="EX1" t="s">
        <v>256</v>
      </c>
      <c r="EY1" t="s">
        <v>257</v>
      </c>
      <c r="EZ1" t="s">
        <v>258</v>
      </c>
      <c r="FA1" t="s">
        <v>259</v>
      </c>
      <c r="FB1" t="s">
        <v>260</v>
      </c>
      <c r="FC1" t="s">
        <v>261</v>
      </c>
      <c r="FD1" t="s">
        <v>262</v>
      </c>
      <c r="FE1" t="s">
        <v>263</v>
      </c>
      <c r="FF1" t="s">
        <v>264</v>
      </c>
      <c r="FG1" t="s">
        <v>265</v>
      </c>
      <c r="FH1" t="s">
        <v>266</v>
      </c>
      <c r="FI1" t="s">
        <v>267</v>
      </c>
      <c r="FJ1" t="s">
        <v>268</v>
      </c>
      <c r="FK1" t="s">
        <v>269</v>
      </c>
      <c r="FL1" t="s">
        <v>270</v>
      </c>
      <c r="FM1" t="s">
        <v>271</v>
      </c>
      <c r="FN1" t="s">
        <v>272</v>
      </c>
      <c r="FO1" t="s">
        <v>273</v>
      </c>
      <c r="FP1" t="s">
        <v>274</v>
      </c>
      <c r="FQ1" t="s">
        <v>275</v>
      </c>
      <c r="FR1" t="s">
        <v>276</v>
      </c>
      <c r="FS1" t="s">
        <v>277</v>
      </c>
      <c r="FT1" t="s">
        <v>278</v>
      </c>
      <c r="FU1" t="s">
        <v>279</v>
      </c>
      <c r="FV1" t="s">
        <v>280</v>
      </c>
      <c r="FW1" t="s">
        <v>281</v>
      </c>
      <c r="FX1" t="s">
        <v>282</v>
      </c>
      <c r="FY1" t="s">
        <v>283</v>
      </c>
      <c r="FZ1" t="s">
        <v>284</v>
      </c>
      <c r="GA1" t="s">
        <v>285</v>
      </c>
      <c r="GB1" t="s">
        <v>286</v>
      </c>
      <c r="GC1" t="s">
        <v>287</v>
      </c>
      <c r="GD1" t="s">
        <v>288</v>
      </c>
      <c r="GE1" t="s">
        <v>289</v>
      </c>
      <c r="GF1" t="s">
        <v>290</v>
      </c>
      <c r="GG1" t="s">
        <v>291</v>
      </c>
      <c r="GH1" t="s">
        <v>292</v>
      </c>
      <c r="GI1" t="s">
        <v>293</v>
      </c>
      <c r="GJ1" t="s">
        <v>294</v>
      </c>
      <c r="GK1" t="s">
        <v>295</v>
      </c>
      <c r="GL1" t="s">
        <v>296</v>
      </c>
      <c r="GM1" t="s">
        <v>297</v>
      </c>
      <c r="GN1" t="s">
        <v>298</v>
      </c>
      <c r="GO1" t="s">
        <v>299</v>
      </c>
      <c r="GP1" t="s">
        <v>300</v>
      </c>
      <c r="GQ1" t="s">
        <v>301</v>
      </c>
      <c r="GR1" t="s">
        <v>302</v>
      </c>
      <c r="GS1" t="s">
        <v>303</v>
      </c>
      <c r="GT1" t="s">
        <v>304</v>
      </c>
      <c r="GU1" t="s">
        <v>305</v>
      </c>
      <c r="GV1" t="s">
        <v>306</v>
      </c>
      <c r="GW1" t="s">
        <v>307</v>
      </c>
      <c r="GX1" t="s">
        <v>308</v>
      </c>
      <c r="GY1" t="s">
        <v>309</v>
      </c>
      <c r="GZ1" t="s">
        <v>310</v>
      </c>
      <c r="HA1" t="s">
        <v>311</v>
      </c>
      <c r="HB1" t="s">
        <v>312</v>
      </c>
      <c r="HC1" t="s">
        <v>313</v>
      </c>
      <c r="HD1" t="s">
        <v>314</v>
      </c>
      <c r="HE1" t="s">
        <v>315</v>
      </c>
      <c r="HF1" t="s">
        <v>316</v>
      </c>
      <c r="HG1" t="s">
        <v>317</v>
      </c>
      <c r="HH1" t="s">
        <v>318</v>
      </c>
      <c r="HI1" t="s">
        <v>319</v>
      </c>
      <c r="HJ1" t="s">
        <v>320</v>
      </c>
      <c r="HK1" t="s">
        <v>321</v>
      </c>
      <c r="HL1" t="s">
        <v>322</v>
      </c>
      <c r="HM1" t="s">
        <v>323</v>
      </c>
      <c r="HN1" t="s">
        <v>324</v>
      </c>
      <c r="HO1" t="s">
        <v>325</v>
      </c>
      <c r="HP1" t="s">
        <v>326</v>
      </c>
      <c r="HQ1" t="s">
        <v>327</v>
      </c>
      <c r="HR1" t="s">
        <v>328</v>
      </c>
      <c r="HS1" t="s">
        <v>329</v>
      </c>
      <c r="HT1" t="s">
        <v>330</v>
      </c>
      <c r="HU1" t="s">
        <v>331</v>
      </c>
      <c r="HV1" t="s">
        <v>332</v>
      </c>
      <c r="HW1" t="s">
        <v>333</v>
      </c>
      <c r="HX1" t="s">
        <v>334</v>
      </c>
      <c r="HY1" t="s">
        <v>335</v>
      </c>
      <c r="HZ1" t="s">
        <v>336</v>
      </c>
      <c r="IA1" t="s">
        <v>337</v>
      </c>
      <c r="IB1" t="s">
        <v>338</v>
      </c>
      <c r="IC1" t="s">
        <v>339</v>
      </c>
      <c r="ID1" t="s">
        <v>340</v>
      </c>
      <c r="IE1" t="s">
        <v>341</v>
      </c>
      <c r="IF1" t="s">
        <v>342</v>
      </c>
      <c r="IG1" t="s">
        <v>343</v>
      </c>
      <c r="IH1" t="s">
        <v>344</v>
      </c>
      <c r="II1" t="s">
        <v>345</v>
      </c>
      <c r="IJ1" t="s">
        <v>346</v>
      </c>
      <c r="IK1" t="s">
        <v>347</v>
      </c>
      <c r="IL1" t="s">
        <v>348</v>
      </c>
      <c r="IM1" t="s">
        <v>349</v>
      </c>
      <c r="IN1" t="s">
        <v>350</v>
      </c>
      <c r="IO1" t="s">
        <v>351</v>
      </c>
      <c r="IP1" t="s">
        <v>352</v>
      </c>
      <c r="IQ1" t="s">
        <v>353</v>
      </c>
      <c r="IR1" t="s">
        <v>354</v>
      </c>
      <c r="IS1" t="s">
        <v>355</v>
      </c>
      <c r="IT1" t="s">
        <v>356</v>
      </c>
      <c r="IU1" t="s">
        <v>357</v>
      </c>
      <c r="IV1" t="s">
        <v>358</v>
      </c>
      <c r="IW1" t="s">
        <v>359</v>
      </c>
      <c r="IX1" t="s">
        <v>360</v>
      </c>
      <c r="IY1" t="s">
        <v>361</v>
      </c>
      <c r="IZ1" t="s">
        <v>362</v>
      </c>
      <c r="JA1" t="s">
        <v>363</v>
      </c>
      <c r="JB1" t="s">
        <v>364</v>
      </c>
    </row>
    <row r="2" spans="1:262" ht="14.25" customHeight="1" x14ac:dyDescent="0.25">
      <c r="A2" t="s">
        <v>365</v>
      </c>
      <c r="D2" t="s">
        <v>366</v>
      </c>
      <c r="E2" s="73">
        <v>46189</v>
      </c>
      <c r="F2" t="s">
        <v>367</v>
      </c>
      <c r="H2" t="s">
        <v>368</v>
      </c>
      <c r="I2" t="s">
        <v>368</v>
      </c>
      <c r="J2">
        <v>2007</v>
      </c>
      <c r="K2" t="s">
        <v>369</v>
      </c>
      <c r="L2" t="s">
        <v>370</v>
      </c>
      <c r="M2" t="s">
        <v>371</v>
      </c>
      <c r="N2" t="s">
        <v>371</v>
      </c>
      <c r="O2" t="s">
        <v>371</v>
      </c>
      <c r="P2" t="s">
        <v>371</v>
      </c>
      <c r="Q2" t="s">
        <v>371</v>
      </c>
      <c r="R2" t="s">
        <v>372</v>
      </c>
      <c r="S2" t="s">
        <v>372</v>
      </c>
      <c r="T2" t="s">
        <v>367</v>
      </c>
      <c r="U2" t="s">
        <v>372</v>
      </c>
      <c r="V2" t="s">
        <v>367</v>
      </c>
      <c r="W2" t="s">
        <v>367</v>
      </c>
      <c r="X2" t="s">
        <v>373</v>
      </c>
      <c r="Y2" t="s">
        <v>367</v>
      </c>
      <c r="Z2" t="s">
        <v>374</v>
      </c>
      <c r="AB2" s="73"/>
      <c r="AQ2" s="73"/>
      <c r="BG2" t="s">
        <v>371</v>
      </c>
      <c r="BH2" t="s">
        <v>371</v>
      </c>
      <c r="BI2" t="s">
        <v>371</v>
      </c>
      <c r="BJ2" t="s">
        <v>371</v>
      </c>
      <c r="BK2" t="s">
        <v>371</v>
      </c>
      <c r="BL2" t="s">
        <v>371</v>
      </c>
      <c r="BM2" t="s">
        <v>371</v>
      </c>
      <c r="BN2" t="s">
        <v>371</v>
      </c>
      <c r="BO2" t="s">
        <v>371</v>
      </c>
      <c r="BQ2" t="s">
        <v>375</v>
      </c>
      <c r="BR2" s="73"/>
      <c r="CX2" s="73"/>
      <c r="EQ2" s="73"/>
      <c r="FT2">
        <v>0</v>
      </c>
      <c r="FZ2" t="s">
        <v>371</v>
      </c>
      <c r="GA2" t="s">
        <v>371</v>
      </c>
      <c r="GB2" t="s">
        <v>371</v>
      </c>
      <c r="GC2" t="s">
        <v>371</v>
      </c>
      <c r="GD2" t="s">
        <v>371</v>
      </c>
      <c r="GF2" t="s">
        <v>371</v>
      </c>
      <c r="GG2" t="s">
        <v>371</v>
      </c>
      <c r="GH2" t="s">
        <v>371</v>
      </c>
      <c r="GI2" t="s">
        <v>371</v>
      </c>
      <c r="GJ2" t="s">
        <v>371</v>
      </c>
      <c r="GK2" t="s">
        <v>371</v>
      </c>
      <c r="GN2" t="s">
        <v>371</v>
      </c>
      <c r="GO2" t="s">
        <v>371</v>
      </c>
      <c r="GP2" t="s">
        <v>371</v>
      </c>
      <c r="GQ2" t="s">
        <v>371</v>
      </c>
      <c r="GR2" t="s">
        <v>371</v>
      </c>
      <c r="GS2" t="s">
        <v>371</v>
      </c>
      <c r="GT2" t="s">
        <v>371</v>
      </c>
      <c r="GU2" t="s">
        <v>371</v>
      </c>
      <c r="GV2" t="s">
        <v>371</v>
      </c>
      <c r="GW2" t="s">
        <v>371</v>
      </c>
      <c r="GX2" t="s">
        <v>371</v>
      </c>
      <c r="HA2" t="s">
        <v>375</v>
      </c>
    </row>
    <row r="3" spans="1:262" ht="14.25" customHeight="1" x14ac:dyDescent="0.25">
      <c r="A3" t="s">
        <v>365</v>
      </c>
      <c r="B3" t="s">
        <v>376</v>
      </c>
      <c r="C3">
        <v>1</v>
      </c>
      <c r="D3" t="s">
        <v>366</v>
      </c>
      <c r="E3" s="73"/>
      <c r="AA3" t="s">
        <v>377</v>
      </c>
      <c r="AB3" s="73">
        <v>46189</v>
      </c>
      <c r="AC3" t="s">
        <v>378</v>
      </c>
      <c r="AF3" t="s">
        <v>379</v>
      </c>
      <c r="AI3" t="s">
        <v>380</v>
      </c>
      <c r="AJ3">
        <v>0</v>
      </c>
      <c r="AK3" t="s">
        <v>372</v>
      </c>
      <c r="AP3" t="s">
        <v>374</v>
      </c>
      <c r="AQ3" s="73"/>
      <c r="BR3" s="73"/>
      <c r="CX3" s="73"/>
      <c r="EQ3" s="73"/>
    </row>
    <row r="4" spans="1:262" ht="14.25" customHeight="1" x14ac:dyDescent="0.25">
      <c r="A4" t="s">
        <v>365</v>
      </c>
      <c r="B4" t="s">
        <v>381</v>
      </c>
      <c r="C4">
        <v>1</v>
      </c>
      <c r="D4" t="s">
        <v>366</v>
      </c>
      <c r="E4" s="73"/>
      <c r="AB4" s="73"/>
      <c r="AQ4" s="73">
        <v>46189</v>
      </c>
      <c r="AR4" t="s">
        <v>382</v>
      </c>
      <c r="AU4" t="s">
        <v>383</v>
      </c>
      <c r="AV4" t="s">
        <v>383</v>
      </c>
      <c r="AW4" t="s">
        <v>384</v>
      </c>
      <c r="AX4" t="s">
        <v>383</v>
      </c>
      <c r="AY4" t="s">
        <v>384</v>
      </c>
      <c r="AZ4" t="s">
        <v>385</v>
      </c>
      <c r="BA4" t="s">
        <v>367</v>
      </c>
      <c r="BB4" t="s">
        <v>372</v>
      </c>
      <c r="BC4">
        <v>7</v>
      </c>
      <c r="BD4" t="s">
        <v>374</v>
      </c>
      <c r="BR4" s="73"/>
      <c r="CX4" s="73"/>
      <c r="EQ4" s="73"/>
    </row>
    <row r="5" spans="1:262" ht="14.25" customHeight="1" x14ac:dyDescent="0.25">
      <c r="A5" t="s">
        <v>386</v>
      </c>
      <c r="D5" t="s">
        <v>366</v>
      </c>
      <c r="E5" s="73">
        <v>46189</v>
      </c>
      <c r="F5" t="s">
        <v>367</v>
      </c>
      <c r="H5" t="s">
        <v>368</v>
      </c>
      <c r="I5" t="s">
        <v>368</v>
      </c>
      <c r="J5">
        <v>2006</v>
      </c>
      <c r="K5" t="s">
        <v>369</v>
      </c>
      <c r="L5" t="s">
        <v>370</v>
      </c>
      <c r="M5" t="s">
        <v>371</v>
      </c>
      <c r="N5" t="s">
        <v>371</v>
      </c>
      <c r="O5" t="s">
        <v>371</v>
      </c>
      <c r="P5" t="s">
        <v>371</v>
      </c>
      <c r="Q5" t="s">
        <v>371</v>
      </c>
      <c r="R5" t="s">
        <v>372</v>
      </c>
      <c r="S5" t="s">
        <v>372</v>
      </c>
      <c r="T5" t="s">
        <v>367</v>
      </c>
      <c r="U5" t="s">
        <v>367</v>
      </c>
      <c r="W5" t="s">
        <v>367</v>
      </c>
      <c r="X5" t="s">
        <v>373</v>
      </c>
      <c r="Y5" t="s">
        <v>367</v>
      </c>
      <c r="Z5" t="s">
        <v>374</v>
      </c>
      <c r="AB5" s="73"/>
      <c r="AQ5" s="73"/>
      <c r="BG5" t="s">
        <v>371</v>
      </c>
      <c r="BH5" t="s">
        <v>371</v>
      </c>
      <c r="BI5" t="s">
        <v>371</v>
      </c>
      <c r="BJ5" t="s">
        <v>371</v>
      </c>
      <c r="BK5" t="s">
        <v>371</v>
      </c>
      <c r="BL5" t="s">
        <v>371</v>
      </c>
      <c r="BM5" t="s">
        <v>371</v>
      </c>
      <c r="BN5" t="s">
        <v>371</v>
      </c>
      <c r="BO5" t="s">
        <v>371</v>
      </c>
      <c r="BQ5" t="s">
        <v>375</v>
      </c>
      <c r="BR5" s="73"/>
      <c r="CX5" s="73"/>
      <c r="EQ5" s="73"/>
      <c r="FT5">
        <v>0</v>
      </c>
      <c r="FZ5" t="s">
        <v>371</v>
      </c>
      <c r="GA5" t="s">
        <v>371</v>
      </c>
      <c r="GB5" t="s">
        <v>371</v>
      </c>
      <c r="GC5" t="s">
        <v>371</v>
      </c>
      <c r="GD5" t="s">
        <v>371</v>
      </c>
      <c r="GF5" t="s">
        <v>371</v>
      </c>
      <c r="GG5" t="s">
        <v>371</v>
      </c>
      <c r="GH5" t="s">
        <v>371</v>
      </c>
      <c r="GI5" t="s">
        <v>371</v>
      </c>
      <c r="GJ5" t="s">
        <v>371</v>
      </c>
      <c r="GK5" t="s">
        <v>371</v>
      </c>
      <c r="GN5" t="s">
        <v>371</v>
      </c>
      <c r="GO5" t="s">
        <v>371</v>
      </c>
      <c r="GP5" t="s">
        <v>371</v>
      </c>
      <c r="GQ5" t="s">
        <v>371</v>
      </c>
      <c r="GR5" t="s">
        <v>371</v>
      </c>
      <c r="GS5" t="s">
        <v>371</v>
      </c>
      <c r="GT5" t="s">
        <v>371</v>
      </c>
      <c r="GU5" t="s">
        <v>371</v>
      </c>
      <c r="GV5" t="s">
        <v>371</v>
      </c>
      <c r="GW5" t="s">
        <v>371</v>
      </c>
      <c r="GX5" t="s">
        <v>371</v>
      </c>
      <c r="HA5" t="s">
        <v>375</v>
      </c>
    </row>
    <row r="6" spans="1:262" ht="14.25" customHeight="1" x14ac:dyDescent="0.25">
      <c r="A6" t="s">
        <v>386</v>
      </c>
      <c r="B6" t="s">
        <v>376</v>
      </c>
      <c r="C6">
        <v>1</v>
      </c>
      <c r="D6" t="s">
        <v>366</v>
      </c>
      <c r="E6" s="73"/>
      <c r="AA6" t="s">
        <v>377</v>
      </c>
      <c r="AB6" s="73">
        <v>46189</v>
      </c>
      <c r="AC6" t="s">
        <v>378</v>
      </c>
      <c r="AF6" t="s">
        <v>379</v>
      </c>
      <c r="AI6" t="s">
        <v>380</v>
      </c>
      <c r="AJ6">
        <v>0</v>
      </c>
      <c r="AK6" t="s">
        <v>372</v>
      </c>
      <c r="AP6" t="s">
        <v>374</v>
      </c>
      <c r="AQ6" s="73"/>
      <c r="BR6" s="73"/>
      <c r="CX6" s="73"/>
      <c r="EQ6" s="73"/>
    </row>
    <row r="7" spans="1:262" ht="14.25" customHeight="1" x14ac:dyDescent="0.25">
      <c r="A7" t="s">
        <v>386</v>
      </c>
      <c r="B7" t="s">
        <v>381</v>
      </c>
      <c r="C7">
        <v>1</v>
      </c>
      <c r="D7" t="s">
        <v>366</v>
      </c>
      <c r="E7" s="73"/>
      <c r="AB7" s="73"/>
      <c r="AQ7" s="73">
        <v>46189</v>
      </c>
      <c r="AR7" t="s">
        <v>378</v>
      </c>
      <c r="AU7" t="s">
        <v>383</v>
      </c>
      <c r="AV7" t="s">
        <v>384</v>
      </c>
      <c r="AW7" t="s">
        <v>384</v>
      </c>
      <c r="AX7" t="s">
        <v>384</v>
      </c>
      <c r="AY7" t="s">
        <v>384</v>
      </c>
      <c r="AZ7" t="s">
        <v>383</v>
      </c>
      <c r="BA7" t="s">
        <v>367</v>
      </c>
      <c r="BB7" t="s">
        <v>372</v>
      </c>
      <c r="BC7">
        <v>4</v>
      </c>
      <c r="BD7" t="s">
        <v>374</v>
      </c>
      <c r="BR7" s="73"/>
      <c r="CX7" s="73"/>
      <c r="EQ7" s="73"/>
    </row>
    <row r="8" spans="1:262" ht="14.25" customHeight="1" x14ac:dyDescent="0.25">
      <c r="A8" t="s">
        <v>387</v>
      </c>
      <c r="D8" t="s">
        <v>366</v>
      </c>
      <c r="E8" s="73">
        <v>46189</v>
      </c>
      <c r="F8" t="s">
        <v>367</v>
      </c>
      <c r="H8" t="s">
        <v>368</v>
      </c>
      <c r="I8" t="s">
        <v>368</v>
      </c>
      <c r="J8">
        <v>2007</v>
      </c>
      <c r="K8" t="s">
        <v>369</v>
      </c>
      <c r="L8" t="s">
        <v>370</v>
      </c>
      <c r="M8" t="s">
        <v>371</v>
      </c>
      <c r="N8" t="s">
        <v>371</v>
      </c>
      <c r="O8" t="s">
        <v>371</v>
      </c>
      <c r="P8" t="s">
        <v>371</v>
      </c>
      <c r="Q8" t="s">
        <v>371</v>
      </c>
      <c r="R8" t="s">
        <v>372</v>
      </c>
      <c r="S8" t="s">
        <v>372</v>
      </c>
      <c r="T8" t="s">
        <v>372</v>
      </c>
      <c r="U8" t="s">
        <v>367</v>
      </c>
      <c r="W8" t="s">
        <v>372</v>
      </c>
      <c r="X8" t="s">
        <v>373</v>
      </c>
      <c r="Y8" t="s">
        <v>367</v>
      </c>
      <c r="Z8" t="s">
        <v>374</v>
      </c>
      <c r="AB8" s="73"/>
      <c r="AQ8" s="73"/>
      <c r="BG8" t="s">
        <v>371</v>
      </c>
      <c r="BH8" t="s">
        <v>371</v>
      </c>
      <c r="BI8" t="s">
        <v>371</v>
      </c>
      <c r="BJ8" t="s">
        <v>371</v>
      </c>
      <c r="BK8" t="s">
        <v>371</v>
      </c>
      <c r="BL8" t="s">
        <v>371</v>
      </c>
      <c r="BM8" t="s">
        <v>371</v>
      </c>
      <c r="BN8" t="s">
        <v>371</v>
      </c>
      <c r="BO8" t="s">
        <v>371</v>
      </c>
      <c r="BQ8" t="s">
        <v>375</v>
      </c>
      <c r="BR8" s="73"/>
      <c r="CX8" s="73"/>
      <c r="EQ8" s="73"/>
      <c r="FT8">
        <v>0</v>
      </c>
      <c r="FZ8" t="s">
        <v>371</v>
      </c>
      <c r="GA8" t="s">
        <v>371</v>
      </c>
      <c r="GB8" t="s">
        <v>371</v>
      </c>
      <c r="GC8" t="s">
        <v>371</v>
      </c>
      <c r="GD8" t="s">
        <v>371</v>
      </c>
      <c r="GF8" t="s">
        <v>371</v>
      </c>
      <c r="GG8" t="s">
        <v>371</v>
      </c>
      <c r="GH8" t="s">
        <v>371</v>
      </c>
      <c r="GI8" t="s">
        <v>371</v>
      </c>
      <c r="GJ8" t="s">
        <v>371</v>
      </c>
      <c r="GK8" t="s">
        <v>371</v>
      </c>
      <c r="GN8" t="s">
        <v>371</v>
      </c>
      <c r="GO8" t="s">
        <v>371</v>
      </c>
      <c r="GP8" t="s">
        <v>371</v>
      </c>
      <c r="GQ8" t="s">
        <v>371</v>
      </c>
      <c r="GR8" t="s">
        <v>371</v>
      </c>
      <c r="GS8" t="s">
        <v>371</v>
      </c>
      <c r="GT8" t="s">
        <v>371</v>
      </c>
      <c r="GU8" t="s">
        <v>371</v>
      </c>
      <c r="GV8" t="s">
        <v>371</v>
      </c>
      <c r="GW8" t="s">
        <v>371</v>
      </c>
      <c r="GX8" t="s">
        <v>371</v>
      </c>
      <c r="HA8" t="s">
        <v>375</v>
      </c>
    </row>
    <row r="9" spans="1:262" ht="14.25" customHeight="1" x14ac:dyDescent="0.25">
      <c r="A9" t="s">
        <v>387</v>
      </c>
      <c r="B9" t="s">
        <v>376</v>
      </c>
      <c r="C9">
        <v>1</v>
      </c>
      <c r="D9" t="s">
        <v>366</v>
      </c>
      <c r="E9" s="73"/>
      <c r="AA9" t="s">
        <v>377</v>
      </c>
      <c r="AB9" s="73">
        <v>46189</v>
      </c>
      <c r="AC9" t="s">
        <v>378</v>
      </c>
      <c r="AF9" t="s">
        <v>379</v>
      </c>
      <c r="AI9" t="s">
        <v>380</v>
      </c>
      <c r="AJ9">
        <v>0</v>
      </c>
      <c r="AK9" t="s">
        <v>372</v>
      </c>
      <c r="AP9" t="s">
        <v>374</v>
      </c>
      <c r="AQ9" s="73"/>
      <c r="BR9" s="73"/>
      <c r="CX9" s="73"/>
      <c r="EQ9" s="73"/>
    </row>
    <row r="10" spans="1:262" ht="14.25" customHeight="1" x14ac:dyDescent="0.25">
      <c r="A10" t="s">
        <v>387</v>
      </c>
      <c r="B10" t="s">
        <v>381</v>
      </c>
      <c r="C10">
        <v>1</v>
      </c>
      <c r="D10" t="s">
        <v>366</v>
      </c>
      <c r="E10" s="73"/>
      <c r="AB10" s="73"/>
      <c r="AQ10" s="73">
        <v>46189</v>
      </c>
      <c r="AR10" t="s">
        <v>378</v>
      </c>
      <c r="AU10" t="s">
        <v>383</v>
      </c>
      <c r="AV10" t="s">
        <v>384</v>
      </c>
      <c r="AW10" t="s">
        <v>383</v>
      </c>
      <c r="AX10" t="s">
        <v>383</v>
      </c>
      <c r="AY10" t="s">
        <v>384</v>
      </c>
      <c r="AZ10" t="s">
        <v>383</v>
      </c>
      <c r="BA10" t="s">
        <v>367</v>
      </c>
      <c r="BB10" t="s">
        <v>372</v>
      </c>
      <c r="BC10">
        <v>6</v>
      </c>
      <c r="BD10" t="s">
        <v>374</v>
      </c>
      <c r="BR10" s="73"/>
      <c r="CX10" s="73"/>
      <c r="EQ10" s="73"/>
    </row>
    <row r="11" spans="1:262" ht="14.25" customHeight="1" x14ac:dyDescent="0.25">
      <c r="A11" t="s">
        <v>388</v>
      </c>
      <c r="D11" t="s">
        <v>366</v>
      </c>
      <c r="E11" s="73">
        <v>46189</v>
      </c>
      <c r="F11" t="s">
        <v>367</v>
      </c>
      <c r="H11" t="s">
        <v>368</v>
      </c>
      <c r="I11" t="s">
        <v>368</v>
      </c>
      <c r="J11">
        <v>2007</v>
      </c>
      <c r="K11" t="s">
        <v>369</v>
      </c>
      <c r="L11" t="s">
        <v>370</v>
      </c>
      <c r="M11" t="s">
        <v>371</v>
      </c>
      <c r="N11" t="s">
        <v>371</v>
      </c>
      <c r="O11" t="s">
        <v>371</v>
      </c>
      <c r="P11" t="s">
        <v>371</v>
      </c>
      <c r="Q11" t="s">
        <v>371</v>
      </c>
      <c r="R11" t="s">
        <v>372</v>
      </c>
      <c r="S11" t="s">
        <v>372</v>
      </c>
      <c r="T11" t="s">
        <v>367</v>
      </c>
      <c r="U11" t="s">
        <v>367</v>
      </c>
      <c r="W11" t="s">
        <v>367</v>
      </c>
      <c r="X11" t="s">
        <v>373</v>
      </c>
      <c r="Y11" t="s">
        <v>367</v>
      </c>
      <c r="Z11" t="s">
        <v>374</v>
      </c>
      <c r="AB11" s="73"/>
      <c r="AQ11" s="73"/>
      <c r="BG11" t="s">
        <v>371</v>
      </c>
      <c r="BH11" t="s">
        <v>371</v>
      </c>
      <c r="BI11" t="s">
        <v>371</v>
      </c>
      <c r="BJ11" t="s">
        <v>371</v>
      </c>
      <c r="BK11" t="s">
        <v>371</v>
      </c>
      <c r="BL11" t="s">
        <v>371</v>
      </c>
      <c r="BM11" t="s">
        <v>371</v>
      </c>
      <c r="BN11" t="s">
        <v>371</v>
      </c>
      <c r="BO11" t="s">
        <v>371</v>
      </c>
      <c r="BQ11" t="s">
        <v>375</v>
      </c>
      <c r="BR11" s="73"/>
      <c r="CX11" s="73"/>
      <c r="EQ11" s="73"/>
      <c r="FT11">
        <v>0</v>
      </c>
      <c r="FZ11" t="s">
        <v>371</v>
      </c>
      <c r="GA11" t="s">
        <v>371</v>
      </c>
      <c r="GB11" t="s">
        <v>371</v>
      </c>
      <c r="GC11" t="s">
        <v>371</v>
      </c>
      <c r="GD11" t="s">
        <v>371</v>
      </c>
      <c r="GF11" t="s">
        <v>371</v>
      </c>
      <c r="GG11" t="s">
        <v>371</v>
      </c>
      <c r="GH11" t="s">
        <v>371</v>
      </c>
      <c r="GI11" t="s">
        <v>371</v>
      </c>
      <c r="GJ11" t="s">
        <v>371</v>
      </c>
      <c r="GK11" t="s">
        <v>371</v>
      </c>
      <c r="GN11" t="s">
        <v>371</v>
      </c>
      <c r="GO11" t="s">
        <v>371</v>
      </c>
      <c r="GP11" t="s">
        <v>371</v>
      </c>
      <c r="GQ11" t="s">
        <v>371</v>
      </c>
      <c r="GR11" t="s">
        <v>371</v>
      </c>
      <c r="GS11" t="s">
        <v>371</v>
      </c>
      <c r="GT11" t="s">
        <v>371</v>
      </c>
      <c r="GU11" t="s">
        <v>371</v>
      </c>
      <c r="GV11" t="s">
        <v>371</v>
      </c>
      <c r="GW11" t="s">
        <v>371</v>
      </c>
      <c r="GX11" t="s">
        <v>371</v>
      </c>
      <c r="HA11" t="s">
        <v>375</v>
      </c>
    </row>
    <row r="12" spans="1:262" ht="14.25" customHeight="1" x14ac:dyDescent="0.25">
      <c r="A12" t="s">
        <v>388</v>
      </c>
      <c r="B12" t="s">
        <v>376</v>
      </c>
      <c r="C12">
        <v>1</v>
      </c>
      <c r="D12" t="s">
        <v>366</v>
      </c>
      <c r="E12" s="73"/>
      <c r="AA12" t="s">
        <v>377</v>
      </c>
      <c r="AB12" s="73">
        <v>46189</v>
      </c>
      <c r="AC12" t="s">
        <v>378</v>
      </c>
      <c r="AF12" t="s">
        <v>379</v>
      </c>
      <c r="AI12" t="s">
        <v>380</v>
      </c>
      <c r="AJ12">
        <v>0</v>
      </c>
      <c r="AK12" t="s">
        <v>372</v>
      </c>
      <c r="AP12" t="s">
        <v>374</v>
      </c>
      <c r="AQ12" s="73"/>
      <c r="BR12" s="73"/>
      <c r="CX12" s="73"/>
      <c r="EQ12" s="73"/>
    </row>
    <row r="13" spans="1:262" ht="14.25" customHeight="1" x14ac:dyDescent="0.25">
      <c r="A13" t="s">
        <v>388</v>
      </c>
      <c r="B13" t="s">
        <v>381</v>
      </c>
      <c r="C13">
        <v>1</v>
      </c>
      <c r="D13" t="s">
        <v>366</v>
      </c>
      <c r="E13" s="73"/>
      <c r="AB13" s="73"/>
      <c r="AQ13" s="73">
        <v>46189</v>
      </c>
      <c r="AR13" t="s">
        <v>382</v>
      </c>
      <c r="AU13" t="s">
        <v>385</v>
      </c>
      <c r="AV13" t="s">
        <v>384</v>
      </c>
      <c r="AW13" t="s">
        <v>385</v>
      </c>
      <c r="AX13" t="s">
        <v>385</v>
      </c>
      <c r="AY13" t="s">
        <v>384</v>
      </c>
      <c r="AZ13" t="s">
        <v>385</v>
      </c>
      <c r="BA13" t="s">
        <v>367</v>
      </c>
      <c r="BB13" t="s">
        <v>367</v>
      </c>
      <c r="BC13">
        <v>8</v>
      </c>
      <c r="BD13" t="s">
        <v>374</v>
      </c>
      <c r="BR13" s="73"/>
      <c r="CX13" s="73"/>
      <c r="EQ13" s="73"/>
    </row>
    <row r="14" spans="1:262" ht="14.25" customHeight="1" x14ac:dyDescent="0.25">
      <c r="A14" t="s">
        <v>389</v>
      </c>
      <c r="D14" t="s">
        <v>366</v>
      </c>
      <c r="E14" s="73">
        <v>46189</v>
      </c>
      <c r="F14" t="s">
        <v>372</v>
      </c>
      <c r="G14" t="s">
        <v>390</v>
      </c>
      <c r="H14" t="s">
        <v>368</v>
      </c>
      <c r="I14" t="s">
        <v>368</v>
      </c>
      <c r="J14">
        <v>1979</v>
      </c>
      <c r="K14" t="s">
        <v>391</v>
      </c>
      <c r="L14" t="s">
        <v>371</v>
      </c>
      <c r="M14" t="s">
        <v>370</v>
      </c>
      <c r="N14" t="s">
        <v>371</v>
      </c>
      <c r="O14" t="s">
        <v>371</v>
      </c>
      <c r="P14" t="s">
        <v>371</v>
      </c>
      <c r="Q14" t="s">
        <v>371</v>
      </c>
      <c r="R14" t="s">
        <v>372</v>
      </c>
      <c r="S14" t="s">
        <v>372</v>
      </c>
      <c r="T14" t="s">
        <v>372</v>
      </c>
      <c r="U14" t="s">
        <v>367</v>
      </c>
      <c r="W14" t="s">
        <v>367</v>
      </c>
      <c r="X14" t="s">
        <v>392</v>
      </c>
      <c r="Y14" t="s">
        <v>367</v>
      </c>
      <c r="Z14" t="s">
        <v>374</v>
      </c>
      <c r="AB14" s="73"/>
      <c r="AQ14" s="73"/>
      <c r="BG14" t="s">
        <v>371</v>
      </c>
      <c r="BH14" t="s">
        <v>371</v>
      </c>
      <c r="BI14" t="s">
        <v>371</v>
      </c>
      <c r="BJ14" t="s">
        <v>371</v>
      </c>
      <c r="BK14" t="s">
        <v>371</v>
      </c>
      <c r="BL14" t="s">
        <v>371</v>
      </c>
      <c r="BM14" t="s">
        <v>371</v>
      </c>
      <c r="BN14" t="s">
        <v>371</v>
      </c>
      <c r="BO14" t="s">
        <v>371</v>
      </c>
      <c r="BQ14" t="s">
        <v>375</v>
      </c>
      <c r="BR14" s="73"/>
      <c r="CX14" s="73"/>
      <c r="EQ14" s="73"/>
      <c r="FT14">
        <v>0</v>
      </c>
      <c r="FZ14" t="s">
        <v>371</v>
      </c>
      <c r="GA14" t="s">
        <v>371</v>
      </c>
      <c r="GB14" t="s">
        <v>371</v>
      </c>
      <c r="GC14" t="s">
        <v>371</v>
      </c>
      <c r="GD14" t="s">
        <v>371</v>
      </c>
      <c r="GF14" t="s">
        <v>371</v>
      </c>
      <c r="GG14" t="s">
        <v>371</v>
      </c>
      <c r="GH14" t="s">
        <v>371</v>
      </c>
      <c r="GI14" t="s">
        <v>371</v>
      </c>
      <c r="GJ14" t="s">
        <v>371</v>
      </c>
      <c r="GK14" t="s">
        <v>371</v>
      </c>
      <c r="GN14" t="s">
        <v>371</v>
      </c>
      <c r="GO14" t="s">
        <v>371</v>
      </c>
      <c r="GP14" t="s">
        <v>371</v>
      </c>
      <c r="GQ14" t="s">
        <v>371</v>
      </c>
      <c r="GR14" t="s">
        <v>371</v>
      </c>
      <c r="GS14" t="s">
        <v>371</v>
      </c>
      <c r="GT14" t="s">
        <v>371</v>
      </c>
      <c r="GU14" t="s">
        <v>371</v>
      </c>
      <c r="GV14" t="s">
        <v>371</v>
      </c>
      <c r="GW14" t="s">
        <v>371</v>
      </c>
      <c r="GX14" t="s">
        <v>371</v>
      </c>
      <c r="HA14" t="s">
        <v>375</v>
      </c>
    </row>
    <row r="15" spans="1:262" ht="14.25" customHeight="1" x14ac:dyDescent="0.25">
      <c r="A15" t="s">
        <v>389</v>
      </c>
      <c r="B15" t="s">
        <v>376</v>
      </c>
      <c r="C15">
        <v>1</v>
      </c>
      <c r="D15" t="s">
        <v>366</v>
      </c>
      <c r="E15" s="73"/>
      <c r="AA15" t="s">
        <v>377</v>
      </c>
      <c r="AB15" s="73">
        <v>46189</v>
      </c>
      <c r="AC15" t="s">
        <v>378</v>
      </c>
      <c r="AF15" t="s">
        <v>379</v>
      </c>
      <c r="AI15" t="s">
        <v>393</v>
      </c>
      <c r="AJ15">
        <v>0</v>
      </c>
      <c r="AK15" t="s">
        <v>372</v>
      </c>
      <c r="AP15" t="s">
        <v>374</v>
      </c>
      <c r="AQ15" s="73"/>
      <c r="BR15" s="73"/>
      <c r="CX15" s="73"/>
      <c r="EQ15" s="73"/>
    </row>
    <row r="16" spans="1:262" ht="14.25" customHeight="1" x14ac:dyDescent="0.25">
      <c r="A16" t="s">
        <v>389</v>
      </c>
      <c r="B16" t="s">
        <v>381</v>
      </c>
      <c r="C16">
        <v>1</v>
      </c>
      <c r="D16" t="s">
        <v>366</v>
      </c>
      <c r="E16" s="73"/>
      <c r="AB16" s="73"/>
      <c r="AQ16" s="73">
        <v>46189</v>
      </c>
      <c r="AR16" t="s">
        <v>394</v>
      </c>
      <c r="AU16" t="s">
        <v>383</v>
      </c>
      <c r="AV16" t="s">
        <v>383</v>
      </c>
      <c r="AW16" t="s">
        <v>384</v>
      </c>
      <c r="AX16" t="s">
        <v>385</v>
      </c>
      <c r="AY16" t="s">
        <v>383</v>
      </c>
      <c r="AZ16" t="s">
        <v>384</v>
      </c>
      <c r="BA16" t="s">
        <v>367</v>
      </c>
      <c r="BB16" t="s">
        <v>372</v>
      </c>
      <c r="BC16">
        <v>7</v>
      </c>
      <c r="BD16" t="s">
        <v>374</v>
      </c>
      <c r="BR16" s="73"/>
      <c r="CX16" s="73"/>
      <c r="EQ16" s="73"/>
    </row>
    <row r="17" spans="1:209" ht="14.25" customHeight="1" x14ac:dyDescent="0.25">
      <c r="A17" t="s">
        <v>395</v>
      </c>
      <c r="D17" t="s">
        <v>366</v>
      </c>
      <c r="E17" s="73">
        <v>46189</v>
      </c>
      <c r="F17" t="s">
        <v>367</v>
      </c>
      <c r="H17" t="s">
        <v>368</v>
      </c>
      <c r="I17" t="s">
        <v>368</v>
      </c>
      <c r="J17">
        <v>1984</v>
      </c>
      <c r="K17" t="s">
        <v>369</v>
      </c>
      <c r="L17" t="s">
        <v>370</v>
      </c>
      <c r="M17" t="s">
        <v>371</v>
      </c>
      <c r="N17" t="s">
        <v>371</v>
      </c>
      <c r="O17" t="s">
        <v>371</v>
      </c>
      <c r="P17" t="s">
        <v>371</v>
      </c>
      <c r="Q17" t="s">
        <v>371</v>
      </c>
      <c r="R17" t="s">
        <v>372</v>
      </c>
      <c r="S17" t="s">
        <v>372</v>
      </c>
      <c r="T17" t="s">
        <v>367</v>
      </c>
      <c r="U17" t="s">
        <v>367</v>
      </c>
      <c r="W17" t="s">
        <v>367</v>
      </c>
      <c r="X17" t="s">
        <v>373</v>
      </c>
      <c r="Y17" t="s">
        <v>396</v>
      </c>
      <c r="Z17" t="s">
        <v>374</v>
      </c>
      <c r="AB17" s="73"/>
      <c r="AQ17" s="73"/>
      <c r="BG17" t="s">
        <v>371</v>
      </c>
      <c r="BH17" t="s">
        <v>371</v>
      </c>
      <c r="BI17" t="s">
        <v>371</v>
      </c>
      <c r="BJ17" t="s">
        <v>371</v>
      </c>
      <c r="BK17" t="s">
        <v>371</v>
      </c>
      <c r="BL17" t="s">
        <v>371</v>
      </c>
      <c r="BM17" t="s">
        <v>371</v>
      </c>
      <c r="BN17" t="s">
        <v>371</v>
      </c>
      <c r="BO17" t="s">
        <v>371</v>
      </c>
      <c r="BQ17" t="s">
        <v>375</v>
      </c>
      <c r="BR17" s="73"/>
      <c r="CX17" s="73"/>
      <c r="EQ17" s="73"/>
      <c r="FT17">
        <v>0</v>
      </c>
      <c r="FZ17" t="s">
        <v>371</v>
      </c>
      <c r="GA17" t="s">
        <v>371</v>
      </c>
      <c r="GB17" t="s">
        <v>371</v>
      </c>
      <c r="GC17" t="s">
        <v>371</v>
      </c>
      <c r="GD17" t="s">
        <v>371</v>
      </c>
      <c r="GF17" t="s">
        <v>371</v>
      </c>
      <c r="GG17" t="s">
        <v>371</v>
      </c>
      <c r="GH17" t="s">
        <v>371</v>
      </c>
      <c r="GI17" t="s">
        <v>371</v>
      </c>
      <c r="GJ17" t="s">
        <v>371</v>
      </c>
      <c r="GK17" t="s">
        <v>371</v>
      </c>
      <c r="GN17" t="s">
        <v>371</v>
      </c>
      <c r="GO17" t="s">
        <v>371</v>
      </c>
      <c r="GP17" t="s">
        <v>371</v>
      </c>
      <c r="GQ17" t="s">
        <v>371</v>
      </c>
      <c r="GR17" t="s">
        <v>371</v>
      </c>
      <c r="GS17" t="s">
        <v>371</v>
      </c>
      <c r="GT17" t="s">
        <v>371</v>
      </c>
      <c r="GU17" t="s">
        <v>371</v>
      </c>
      <c r="GV17" t="s">
        <v>371</v>
      </c>
      <c r="GW17" t="s">
        <v>371</v>
      </c>
      <c r="GX17" t="s">
        <v>371</v>
      </c>
      <c r="HA17" t="s">
        <v>375</v>
      </c>
    </row>
    <row r="18" spans="1:209" ht="14.25" customHeight="1" x14ac:dyDescent="0.25">
      <c r="A18" t="s">
        <v>395</v>
      </c>
      <c r="B18" t="s">
        <v>376</v>
      </c>
      <c r="C18">
        <v>1</v>
      </c>
      <c r="D18" t="s">
        <v>366</v>
      </c>
      <c r="E18" s="73"/>
      <c r="AA18" t="s">
        <v>377</v>
      </c>
      <c r="AB18" s="73">
        <v>46189</v>
      </c>
      <c r="AC18" t="s">
        <v>378</v>
      </c>
      <c r="AF18" t="s">
        <v>379</v>
      </c>
      <c r="AI18" t="s">
        <v>380</v>
      </c>
      <c r="AJ18">
        <v>0</v>
      </c>
      <c r="AK18" t="s">
        <v>372</v>
      </c>
      <c r="AP18" t="s">
        <v>374</v>
      </c>
      <c r="AQ18" s="73"/>
      <c r="BR18" s="73"/>
      <c r="CX18" s="73"/>
      <c r="EQ18" s="73"/>
    </row>
    <row r="19" spans="1:209" ht="14.25" customHeight="1" x14ac:dyDescent="0.25">
      <c r="A19" t="s">
        <v>395</v>
      </c>
      <c r="B19" t="s">
        <v>381</v>
      </c>
      <c r="C19">
        <v>1</v>
      </c>
      <c r="D19" t="s">
        <v>366</v>
      </c>
      <c r="E19" s="73"/>
      <c r="AB19" s="73"/>
      <c r="AQ19" s="73">
        <v>46189</v>
      </c>
      <c r="AR19" t="s">
        <v>397</v>
      </c>
      <c r="AU19" t="s">
        <v>384</v>
      </c>
      <c r="AV19" t="s">
        <v>385</v>
      </c>
      <c r="AW19" t="s">
        <v>383</v>
      </c>
      <c r="AX19" t="s">
        <v>383</v>
      </c>
      <c r="AY19" t="s">
        <v>383</v>
      </c>
      <c r="AZ19" t="s">
        <v>384</v>
      </c>
      <c r="BA19" t="s">
        <v>367</v>
      </c>
      <c r="BB19" t="s">
        <v>372</v>
      </c>
      <c r="BC19">
        <v>7</v>
      </c>
      <c r="BD19" t="s">
        <v>374</v>
      </c>
      <c r="BR19" s="73"/>
      <c r="CX19" s="73"/>
      <c r="EQ19" s="73"/>
    </row>
    <row r="20" spans="1:209" ht="14.25" customHeight="1" x14ac:dyDescent="0.25">
      <c r="A20" t="s">
        <v>398</v>
      </c>
      <c r="D20" t="s">
        <v>366</v>
      </c>
      <c r="E20" s="73">
        <v>46189</v>
      </c>
      <c r="F20" t="s">
        <v>367</v>
      </c>
      <c r="H20" t="s">
        <v>368</v>
      </c>
      <c r="I20" t="s">
        <v>368</v>
      </c>
      <c r="J20">
        <v>1981</v>
      </c>
      <c r="K20" t="s">
        <v>369</v>
      </c>
      <c r="L20" t="s">
        <v>371</v>
      </c>
      <c r="M20" t="s">
        <v>371</v>
      </c>
      <c r="N20" t="s">
        <v>370</v>
      </c>
      <c r="O20" t="s">
        <v>371</v>
      </c>
      <c r="P20" t="s">
        <v>371</v>
      </c>
      <c r="Q20" t="s">
        <v>371</v>
      </c>
      <c r="R20" t="s">
        <v>372</v>
      </c>
      <c r="S20" t="s">
        <v>372</v>
      </c>
      <c r="T20" t="s">
        <v>372</v>
      </c>
      <c r="U20" t="s">
        <v>367</v>
      </c>
      <c r="W20" t="s">
        <v>367</v>
      </c>
      <c r="X20" t="s">
        <v>399</v>
      </c>
      <c r="Y20" t="s">
        <v>367</v>
      </c>
      <c r="Z20" t="s">
        <v>374</v>
      </c>
      <c r="AB20" s="73"/>
      <c r="AQ20" s="73"/>
      <c r="BG20" t="s">
        <v>371</v>
      </c>
      <c r="BH20" t="s">
        <v>371</v>
      </c>
      <c r="BI20" t="s">
        <v>371</v>
      </c>
      <c r="BJ20" t="s">
        <v>371</v>
      </c>
      <c r="BK20" t="s">
        <v>371</v>
      </c>
      <c r="BL20" t="s">
        <v>371</v>
      </c>
      <c r="BM20" t="s">
        <v>371</v>
      </c>
      <c r="BN20" t="s">
        <v>371</v>
      </c>
      <c r="BO20" t="s">
        <v>371</v>
      </c>
      <c r="BQ20" t="s">
        <v>375</v>
      </c>
      <c r="BR20" s="73"/>
      <c r="CX20" s="73"/>
      <c r="EQ20" s="73"/>
      <c r="FT20">
        <v>0</v>
      </c>
      <c r="FZ20" t="s">
        <v>371</v>
      </c>
      <c r="GA20" t="s">
        <v>371</v>
      </c>
      <c r="GB20" t="s">
        <v>371</v>
      </c>
      <c r="GC20" t="s">
        <v>371</v>
      </c>
      <c r="GD20" t="s">
        <v>371</v>
      </c>
      <c r="GF20" t="s">
        <v>371</v>
      </c>
      <c r="GG20" t="s">
        <v>371</v>
      </c>
      <c r="GH20" t="s">
        <v>371</v>
      </c>
      <c r="GI20" t="s">
        <v>371</v>
      </c>
      <c r="GJ20" t="s">
        <v>371</v>
      </c>
      <c r="GK20" t="s">
        <v>371</v>
      </c>
      <c r="GN20" t="s">
        <v>371</v>
      </c>
      <c r="GO20" t="s">
        <v>371</v>
      </c>
      <c r="GP20" t="s">
        <v>371</v>
      </c>
      <c r="GQ20" t="s">
        <v>371</v>
      </c>
      <c r="GR20" t="s">
        <v>371</v>
      </c>
      <c r="GS20" t="s">
        <v>371</v>
      </c>
      <c r="GT20" t="s">
        <v>371</v>
      </c>
      <c r="GU20" t="s">
        <v>371</v>
      </c>
      <c r="GV20" t="s">
        <v>371</v>
      </c>
      <c r="GW20" t="s">
        <v>371</v>
      </c>
      <c r="GX20" t="s">
        <v>371</v>
      </c>
      <c r="HA20" t="s">
        <v>375</v>
      </c>
    </row>
    <row r="21" spans="1:209" ht="14.25" customHeight="1" x14ac:dyDescent="0.25">
      <c r="A21" t="s">
        <v>398</v>
      </c>
      <c r="B21" t="s">
        <v>376</v>
      </c>
      <c r="C21">
        <v>1</v>
      </c>
      <c r="D21" t="s">
        <v>366</v>
      </c>
      <c r="E21" s="73"/>
      <c r="AA21" t="s">
        <v>377</v>
      </c>
      <c r="AB21" s="73">
        <v>46189</v>
      </c>
      <c r="AC21" t="s">
        <v>378</v>
      </c>
      <c r="AF21" t="s">
        <v>379</v>
      </c>
      <c r="AI21" t="s">
        <v>400</v>
      </c>
      <c r="AJ21">
        <v>0</v>
      </c>
      <c r="AK21" t="s">
        <v>372</v>
      </c>
      <c r="AO21" t="s">
        <v>401</v>
      </c>
      <c r="AP21" t="s">
        <v>374</v>
      </c>
      <c r="AQ21" s="73"/>
      <c r="BR21" s="73"/>
      <c r="CX21" s="73"/>
      <c r="EQ21" s="73"/>
    </row>
    <row r="22" spans="1:209" ht="14.25" customHeight="1" x14ac:dyDescent="0.25">
      <c r="A22" t="s">
        <v>402</v>
      </c>
      <c r="D22" t="s">
        <v>366</v>
      </c>
      <c r="E22" s="73">
        <v>46189</v>
      </c>
      <c r="F22" t="s">
        <v>367</v>
      </c>
      <c r="H22" t="s">
        <v>368</v>
      </c>
      <c r="I22" t="s">
        <v>403</v>
      </c>
      <c r="J22">
        <v>1976</v>
      </c>
      <c r="K22" t="s">
        <v>369</v>
      </c>
      <c r="L22" t="s">
        <v>370</v>
      </c>
      <c r="M22" t="s">
        <v>371</v>
      </c>
      <c r="N22" t="s">
        <v>371</v>
      </c>
      <c r="O22" t="s">
        <v>371</v>
      </c>
      <c r="P22" t="s">
        <v>371</v>
      </c>
      <c r="Q22" t="s">
        <v>371</v>
      </c>
      <c r="R22" t="s">
        <v>372</v>
      </c>
      <c r="S22" t="s">
        <v>372</v>
      </c>
      <c r="T22" t="s">
        <v>372</v>
      </c>
      <c r="U22" t="s">
        <v>372</v>
      </c>
      <c r="V22" t="s">
        <v>367</v>
      </c>
      <c r="W22" t="s">
        <v>372</v>
      </c>
      <c r="X22" t="s">
        <v>392</v>
      </c>
      <c r="Y22" t="s">
        <v>367</v>
      </c>
      <c r="Z22" t="s">
        <v>374</v>
      </c>
      <c r="AB22" s="73"/>
      <c r="AQ22" s="73"/>
      <c r="BG22" t="s">
        <v>371</v>
      </c>
      <c r="BH22" t="s">
        <v>371</v>
      </c>
      <c r="BI22" t="s">
        <v>371</v>
      </c>
      <c r="BJ22" t="s">
        <v>371</v>
      </c>
      <c r="BK22" t="s">
        <v>371</v>
      </c>
      <c r="BL22" t="s">
        <v>371</v>
      </c>
      <c r="BM22" t="s">
        <v>371</v>
      </c>
      <c r="BN22" t="s">
        <v>371</v>
      </c>
      <c r="BO22" t="s">
        <v>371</v>
      </c>
      <c r="BQ22" t="s">
        <v>375</v>
      </c>
      <c r="BR22" s="73"/>
      <c r="CX22" s="73"/>
      <c r="EQ22" s="73"/>
      <c r="FT22">
        <v>0</v>
      </c>
      <c r="FZ22" t="s">
        <v>371</v>
      </c>
      <c r="GA22" t="s">
        <v>371</v>
      </c>
      <c r="GB22" t="s">
        <v>371</v>
      </c>
      <c r="GC22" t="s">
        <v>371</v>
      </c>
      <c r="GD22" t="s">
        <v>371</v>
      </c>
      <c r="GF22" t="s">
        <v>371</v>
      </c>
      <c r="GG22" t="s">
        <v>371</v>
      </c>
      <c r="GH22" t="s">
        <v>371</v>
      </c>
      <c r="GI22" t="s">
        <v>371</v>
      </c>
      <c r="GJ22" t="s">
        <v>371</v>
      </c>
      <c r="GK22" t="s">
        <v>371</v>
      </c>
      <c r="GN22" t="s">
        <v>371</v>
      </c>
      <c r="GO22" t="s">
        <v>371</v>
      </c>
      <c r="GP22" t="s">
        <v>371</v>
      </c>
      <c r="GQ22" t="s">
        <v>371</v>
      </c>
      <c r="GR22" t="s">
        <v>371</v>
      </c>
      <c r="GS22" t="s">
        <v>371</v>
      </c>
      <c r="GT22" t="s">
        <v>371</v>
      </c>
      <c r="GU22" t="s">
        <v>371</v>
      </c>
      <c r="GV22" t="s">
        <v>371</v>
      </c>
      <c r="GW22" t="s">
        <v>371</v>
      </c>
      <c r="GX22" t="s">
        <v>371</v>
      </c>
      <c r="HA22" t="s">
        <v>375</v>
      </c>
    </row>
    <row r="23" spans="1:209" ht="14.25" customHeight="1" x14ac:dyDescent="0.25">
      <c r="A23" t="s">
        <v>402</v>
      </c>
      <c r="B23" t="s">
        <v>376</v>
      </c>
      <c r="C23">
        <v>1</v>
      </c>
      <c r="D23" t="s">
        <v>366</v>
      </c>
      <c r="E23" s="73"/>
      <c r="AA23" t="s">
        <v>377</v>
      </c>
      <c r="AB23" s="73">
        <v>46189</v>
      </c>
      <c r="AC23" t="s">
        <v>378</v>
      </c>
      <c r="AF23" t="s">
        <v>379</v>
      </c>
      <c r="AI23" t="s">
        <v>393</v>
      </c>
      <c r="AJ23">
        <v>0</v>
      </c>
      <c r="AK23" t="s">
        <v>372</v>
      </c>
      <c r="AP23" t="s">
        <v>374</v>
      </c>
      <c r="AQ23" s="73"/>
      <c r="BR23" s="73"/>
      <c r="CX23" s="73"/>
      <c r="EQ23" s="73"/>
    </row>
    <row r="24" spans="1:209" ht="14.25" customHeight="1" x14ac:dyDescent="0.25">
      <c r="A24" t="s">
        <v>402</v>
      </c>
      <c r="B24" t="s">
        <v>381</v>
      </c>
      <c r="C24">
        <v>1</v>
      </c>
      <c r="D24" t="s">
        <v>366</v>
      </c>
      <c r="E24" s="73"/>
      <c r="AB24" s="73"/>
      <c r="AQ24" s="73">
        <v>46189</v>
      </c>
      <c r="AR24" t="s">
        <v>394</v>
      </c>
      <c r="AU24" t="s">
        <v>384</v>
      </c>
      <c r="AV24" t="s">
        <v>385</v>
      </c>
      <c r="AW24" t="s">
        <v>384</v>
      </c>
      <c r="AX24" t="s">
        <v>404</v>
      </c>
      <c r="AY24" t="s">
        <v>404</v>
      </c>
      <c r="AZ24" t="s">
        <v>404</v>
      </c>
      <c r="BA24" t="s">
        <v>367</v>
      </c>
      <c r="BB24" t="s">
        <v>372</v>
      </c>
      <c r="BC24">
        <v>13</v>
      </c>
      <c r="BD24" t="s">
        <v>374</v>
      </c>
      <c r="BR24" s="73"/>
      <c r="CX24" s="73"/>
      <c r="EQ24" s="73"/>
    </row>
    <row r="25" spans="1:209" ht="14.25" customHeight="1" x14ac:dyDescent="0.25">
      <c r="A25" t="s">
        <v>402</v>
      </c>
      <c r="B25" t="s">
        <v>405</v>
      </c>
      <c r="C25">
        <v>1</v>
      </c>
      <c r="D25" t="s">
        <v>366</v>
      </c>
      <c r="E25" s="73"/>
      <c r="AB25" s="73"/>
      <c r="AQ25" s="73"/>
      <c r="BR25" s="73">
        <v>46191</v>
      </c>
      <c r="BT25" t="s">
        <v>406</v>
      </c>
      <c r="BV25" t="s">
        <v>372</v>
      </c>
      <c r="BW25" t="s">
        <v>407</v>
      </c>
      <c r="BX25" t="s">
        <v>372</v>
      </c>
      <c r="BY25" t="s">
        <v>367</v>
      </c>
      <c r="BZ25" t="s">
        <v>372</v>
      </c>
      <c r="CA25" t="s">
        <v>372</v>
      </c>
      <c r="CB25" t="s">
        <v>371</v>
      </c>
      <c r="CC25" t="s">
        <v>371</v>
      </c>
      <c r="CD25" t="s">
        <v>371</v>
      </c>
      <c r="CE25" t="s">
        <v>371</v>
      </c>
      <c r="CF25" t="s">
        <v>371</v>
      </c>
      <c r="CG25" t="s">
        <v>371</v>
      </c>
      <c r="CH25" t="s">
        <v>370</v>
      </c>
      <c r="CI25" t="s">
        <v>371</v>
      </c>
      <c r="CK25" t="s">
        <v>408</v>
      </c>
      <c r="CM25" t="s">
        <v>367</v>
      </c>
      <c r="CN25" t="s">
        <v>372</v>
      </c>
      <c r="CO25" t="s">
        <v>409</v>
      </c>
      <c r="CQ25" t="s">
        <v>370</v>
      </c>
      <c r="CR25" t="s">
        <v>370</v>
      </c>
      <c r="CS25" t="s">
        <v>370</v>
      </c>
      <c r="CT25" t="s">
        <v>371</v>
      </c>
      <c r="CU25" t="s">
        <v>371</v>
      </c>
      <c r="CW25" t="s">
        <v>374</v>
      </c>
      <c r="CX25" s="73"/>
      <c r="EQ25" s="73"/>
    </row>
    <row r="26" spans="1:209" ht="14.25" customHeight="1" x14ac:dyDescent="0.25">
      <c r="A26" t="s">
        <v>402</v>
      </c>
      <c r="B26" t="s">
        <v>410</v>
      </c>
      <c r="C26">
        <v>1</v>
      </c>
      <c r="D26" t="s">
        <v>366</v>
      </c>
      <c r="E26" s="73"/>
      <c r="AB26" s="73"/>
      <c r="AQ26" s="73"/>
      <c r="BR26" s="73"/>
      <c r="CX26" s="73">
        <v>46191</v>
      </c>
      <c r="CY26" t="s">
        <v>411</v>
      </c>
      <c r="CZ26" t="s">
        <v>412</v>
      </c>
      <c r="DA26" t="s">
        <v>413</v>
      </c>
      <c r="DC26" t="s">
        <v>414</v>
      </c>
      <c r="DE26" t="s">
        <v>415</v>
      </c>
      <c r="DF26" t="s">
        <v>416</v>
      </c>
      <c r="DG26" t="s">
        <v>367</v>
      </c>
      <c r="DH26" t="s">
        <v>367</v>
      </c>
      <c r="DI26" t="s">
        <v>367</v>
      </c>
      <c r="DK26" t="s">
        <v>370</v>
      </c>
      <c r="DL26" t="s">
        <v>371</v>
      </c>
      <c r="DM26" t="s">
        <v>371</v>
      </c>
      <c r="DN26" t="s">
        <v>371</v>
      </c>
      <c r="DO26" t="s">
        <v>372</v>
      </c>
      <c r="DP26" t="s">
        <v>417</v>
      </c>
      <c r="DQ26" t="s">
        <v>370</v>
      </c>
      <c r="DR26" t="s">
        <v>371</v>
      </c>
      <c r="DS26" t="s">
        <v>371</v>
      </c>
      <c r="DT26" t="s">
        <v>371</v>
      </c>
      <c r="DU26" t="s">
        <v>371</v>
      </c>
      <c r="DV26" t="s">
        <v>371</v>
      </c>
      <c r="DW26" t="s">
        <v>371</v>
      </c>
      <c r="DX26" t="s">
        <v>370</v>
      </c>
      <c r="DY26" t="s">
        <v>371</v>
      </c>
      <c r="DZ26" t="s">
        <v>371</v>
      </c>
      <c r="EA26" t="s">
        <v>371</v>
      </c>
      <c r="EB26" t="s">
        <v>371</v>
      </c>
      <c r="EC26" t="s">
        <v>371</v>
      </c>
      <c r="ED26" t="s">
        <v>371</v>
      </c>
      <c r="EE26" t="s">
        <v>371</v>
      </c>
      <c r="EF26" t="s">
        <v>371</v>
      </c>
      <c r="EG26" t="s">
        <v>371</v>
      </c>
      <c r="EH26" t="s">
        <v>371</v>
      </c>
      <c r="EI26" t="s">
        <v>418</v>
      </c>
      <c r="EJ26" t="s">
        <v>370</v>
      </c>
      <c r="EK26" t="s">
        <v>370</v>
      </c>
      <c r="EL26" t="s">
        <v>370</v>
      </c>
      <c r="EM26" t="s">
        <v>370</v>
      </c>
      <c r="EN26" t="s">
        <v>370</v>
      </c>
      <c r="EO26" t="s">
        <v>371</v>
      </c>
      <c r="EQ26" s="73">
        <v>46220</v>
      </c>
      <c r="ER26" t="s">
        <v>419</v>
      </c>
      <c r="ES26" t="s">
        <v>374</v>
      </c>
    </row>
    <row r="27" spans="1:209" ht="14.25" customHeight="1" x14ac:dyDescent="0.25">
      <c r="A27" t="s">
        <v>420</v>
      </c>
      <c r="D27" t="s">
        <v>366</v>
      </c>
      <c r="E27" s="73">
        <v>46189</v>
      </c>
      <c r="F27" t="s">
        <v>367</v>
      </c>
      <c r="H27" t="s">
        <v>403</v>
      </c>
      <c r="I27" t="s">
        <v>403</v>
      </c>
      <c r="J27">
        <v>1976</v>
      </c>
      <c r="K27" t="s">
        <v>369</v>
      </c>
      <c r="L27" t="s">
        <v>370</v>
      </c>
      <c r="M27" t="s">
        <v>371</v>
      </c>
      <c r="N27" t="s">
        <v>371</v>
      </c>
      <c r="O27" t="s">
        <v>371</v>
      </c>
      <c r="P27" t="s">
        <v>371</v>
      </c>
      <c r="Q27" t="s">
        <v>371</v>
      </c>
      <c r="R27" t="s">
        <v>372</v>
      </c>
      <c r="S27" t="s">
        <v>372</v>
      </c>
      <c r="T27" t="s">
        <v>367</v>
      </c>
      <c r="U27" t="s">
        <v>372</v>
      </c>
      <c r="V27" t="s">
        <v>367</v>
      </c>
      <c r="W27" t="s">
        <v>372</v>
      </c>
      <c r="X27" t="s">
        <v>399</v>
      </c>
      <c r="Y27" t="s">
        <v>421</v>
      </c>
      <c r="Z27" t="s">
        <v>374</v>
      </c>
      <c r="AB27" s="73"/>
      <c r="AQ27" s="73"/>
      <c r="BG27" t="s">
        <v>371</v>
      </c>
      <c r="BH27" t="s">
        <v>371</v>
      </c>
      <c r="BI27" t="s">
        <v>371</v>
      </c>
      <c r="BJ27" t="s">
        <v>371</v>
      </c>
      <c r="BK27" t="s">
        <v>371</v>
      </c>
      <c r="BL27" t="s">
        <v>371</v>
      </c>
      <c r="BM27" t="s">
        <v>371</v>
      </c>
      <c r="BN27" t="s">
        <v>371</v>
      </c>
      <c r="BO27" t="s">
        <v>371</v>
      </c>
      <c r="BQ27" t="s">
        <v>375</v>
      </c>
      <c r="BR27" s="73"/>
      <c r="CX27" s="73"/>
      <c r="EQ27" s="73"/>
      <c r="FT27">
        <v>0</v>
      </c>
      <c r="FZ27" t="s">
        <v>371</v>
      </c>
      <c r="GA27" t="s">
        <v>371</v>
      </c>
      <c r="GB27" t="s">
        <v>371</v>
      </c>
      <c r="GC27" t="s">
        <v>371</v>
      </c>
      <c r="GD27" t="s">
        <v>371</v>
      </c>
      <c r="GF27" t="s">
        <v>371</v>
      </c>
      <c r="GG27" t="s">
        <v>371</v>
      </c>
      <c r="GH27" t="s">
        <v>371</v>
      </c>
      <c r="GI27" t="s">
        <v>371</v>
      </c>
      <c r="GJ27" t="s">
        <v>371</v>
      </c>
      <c r="GK27" t="s">
        <v>371</v>
      </c>
      <c r="GN27" t="s">
        <v>371</v>
      </c>
      <c r="GO27" t="s">
        <v>371</v>
      </c>
      <c r="GP27" t="s">
        <v>371</v>
      </c>
      <c r="GQ27" t="s">
        <v>371</v>
      </c>
      <c r="GR27" t="s">
        <v>371</v>
      </c>
      <c r="GS27" t="s">
        <v>371</v>
      </c>
      <c r="GT27" t="s">
        <v>371</v>
      </c>
      <c r="GU27" t="s">
        <v>371</v>
      </c>
      <c r="GV27" t="s">
        <v>371</v>
      </c>
      <c r="GW27" t="s">
        <v>371</v>
      </c>
      <c r="GX27" t="s">
        <v>371</v>
      </c>
      <c r="HA27" t="s">
        <v>375</v>
      </c>
    </row>
    <row r="28" spans="1:209" ht="14.25" customHeight="1" x14ac:dyDescent="0.25">
      <c r="A28" t="s">
        <v>420</v>
      </c>
      <c r="B28" t="s">
        <v>376</v>
      </c>
      <c r="C28">
        <v>1</v>
      </c>
      <c r="D28" t="s">
        <v>366</v>
      </c>
      <c r="E28" s="73"/>
      <c r="AA28" t="s">
        <v>377</v>
      </c>
      <c r="AB28" s="73">
        <v>46189</v>
      </c>
      <c r="AC28" t="s">
        <v>378</v>
      </c>
      <c r="AF28" t="s">
        <v>379</v>
      </c>
      <c r="AI28" t="s">
        <v>380</v>
      </c>
      <c r="AJ28">
        <v>0</v>
      </c>
      <c r="AK28" t="s">
        <v>372</v>
      </c>
      <c r="AP28" t="s">
        <v>374</v>
      </c>
      <c r="AQ28" s="73"/>
      <c r="BR28" s="73"/>
      <c r="CX28" s="73"/>
      <c r="EQ28" s="73"/>
    </row>
    <row r="29" spans="1:209" ht="14.25" customHeight="1" x14ac:dyDescent="0.25">
      <c r="A29" t="s">
        <v>420</v>
      </c>
      <c r="B29" t="s">
        <v>381</v>
      </c>
      <c r="C29">
        <v>1</v>
      </c>
      <c r="D29" t="s">
        <v>366</v>
      </c>
      <c r="E29" s="73"/>
      <c r="AB29" s="73"/>
      <c r="AQ29" s="73">
        <v>46189</v>
      </c>
      <c r="AR29" t="s">
        <v>378</v>
      </c>
      <c r="AU29" t="s">
        <v>385</v>
      </c>
      <c r="AV29" t="s">
        <v>383</v>
      </c>
      <c r="AW29" t="s">
        <v>383</v>
      </c>
      <c r="AX29" t="s">
        <v>404</v>
      </c>
      <c r="AY29" t="s">
        <v>383</v>
      </c>
      <c r="AZ29" t="s">
        <v>383</v>
      </c>
      <c r="BA29" t="s">
        <v>367</v>
      </c>
      <c r="BB29" t="s">
        <v>372</v>
      </c>
      <c r="BC29">
        <v>11</v>
      </c>
      <c r="BD29" t="s">
        <v>374</v>
      </c>
      <c r="BR29" s="73"/>
      <c r="CX29" s="73"/>
      <c r="EQ29" s="73"/>
    </row>
    <row r="30" spans="1:209" ht="14.25" customHeight="1" x14ac:dyDescent="0.25">
      <c r="A30" t="s">
        <v>420</v>
      </c>
      <c r="B30" t="s">
        <v>410</v>
      </c>
      <c r="C30">
        <v>1</v>
      </c>
      <c r="D30" t="s">
        <v>366</v>
      </c>
      <c r="E30" s="73"/>
      <c r="AB30" s="73"/>
      <c r="AQ30" s="73"/>
      <c r="BR30" s="73"/>
      <c r="CX30" s="73">
        <v>46191</v>
      </c>
      <c r="CY30" t="s">
        <v>411</v>
      </c>
      <c r="CZ30" t="s">
        <v>422</v>
      </c>
      <c r="DA30" t="s">
        <v>413</v>
      </c>
      <c r="DC30" t="s">
        <v>423</v>
      </c>
      <c r="DE30" t="s">
        <v>424</v>
      </c>
      <c r="DF30" t="s">
        <v>425</v>
      </c>
      <c r="DG30" t="s">
        <v>367</v>
      </c>
      <c r="DH30" t="s">
        <v>367</v>
      </c>
      <c r="DI30" t="s">
        <v>367</v>
      </c>
      <c r="DK30" t="s">
        <v>370</v>
      </c>
      <c r="DL30" t="s">
        <v>371</v>
      </c>
      <c r="DM30" t="s">
        <v>370</v>
      </c>
      <c r="DN30" t="s">
        <v>371</v>
      </c>
      <c r="DO30" t="s">
        <v>372</v>
      </c>
      <c r="DP30" t="s">
        <v>426</v>
      </c>
      <c r="DQ30" t="s">
        <v>371</v>
      </c>
      <c r="DR30" t="s">
        <v>371</v>
      </c>
      <c r="DS30" t="s">
        <v>371</v>
      </c>
      <c r="DT30" t="s">
        <v>371</v>
      </c>
      <c r="DU30" t="s">
        <v>371</v>
      </c>
      <c r="DV30" t="s">
        <v>371</v>
      </c>
      <c r="DW30" t="s">
        <v>371</v>
      </c>
      <c r="DX30" t="s">
        <v>370</v>
      </c>
      <c r="DY30" t="s">
        <v>371</v>
      </c>
      <c r="DZ30" t="s">
        <v>371</v>
      </c>
      <c r="EA30" t="s">
        <v>371</v>
      </c>
      <c r="EB30" t="s">
        <v>371</v>
      </c>
      <c r="EC30" t="s">
        <v>371</v>
      </c>
      <c r="ED30" t="s">
        <v>371</v>
      </c>
      <c r="EE30" t="s">
        <v>371</v>
      </c>
      <c r="EF30" t="s">
        <v>371</v>
      </c>
      <c r="EG30" t="s">
        <v>371</v>
      </c>
      <c r="EH30" t="s">
        <v>371</v>
      </c>
      <c r="EI30" t="s">
        <v>427</v>
      </c>
      <c r="EJ30" t="s">
        <v>370</v>
      </c>
      <c r="EK30" t="s">
        <v>370</v>
      </c>
      <c r="EL30" t="s">
        <v>370</v>
      </c>
      <c r="EM30" t="s">
        <v>371</v>
      </c>
      <c r="EN30" t="s">
        <v>371</v>
      </c>
      <c r="EO30" t="s">
        <v>371</v>
      </c>
      <c r="EQ30" s="73">
        <v>46221</v>
      </c>
      <c r="ER30" t="s">
        <v>428</v>
      </c>
      <c r="ES30" t="s">
        <v>374</v>
      </c>
    </row>
    <row r="31" spans="1:209" ht="14.25" customHeight="1" x14ac:dyDescent="0.25">
      <c r="A31" t="s">
        <v>429</v>
      </c>
      <c r="D31" t="s">
        <v>366</v>
      </c>
      <c r="E31" s="73">
        <v>46189</v>
      </c>
      <c r="F31" t="s">
        <v>367</v>
      </c>
      <c r="H31" t="s">
        <v>368</v>
      </c>
      <c r="I31" t="s">
        <v>368</v>
      </c>
      <c r="J31">
        <v>1980</v>
      </c>
      <c r="K31" t="s">
        <v>369</v>
      </c>
      <c r="L31" t="s">
        <v>370</v>
      </c>
      <c r="M31" t="s">
        <v>371</v>
      </c>
      <c r="N31" t="s">
        <v>371</v>
      </c>
      <c r="O31" t="s">
        <v>371</v>
      </c>
      <c r="P31" t="s">
        <v>371</v>
      </c>
      <c r="Q31" t="s">
        <v>371</v>
      </c>
      <c r="R31" t="s">
        <v>372</v>
      </c>
      <c r="S31" t="s">
        <v>372</v>
      </c>
      <c r="T31" t="s">
        <v>372</v>
      </c>
      <c r="U31" t="s">
        <v>367</v>
      </c>
      <c r="W31" t="s">
        <v>367</v>
      </c>
      <c r="X31" t="s">
        <v>392</v>
      </c>
      <c r="Y31" t="s">
        <v>396</v>
      </c>
      <c r="Z31" t="s">
        <v>374</v>
      </c>
      <c r="AB31" s="73"/>
      <c r="AQ31" s="73"/>
      <c r="BG31" t="s">
        <v>371</v>
      </c>
      <c r="BH31" t="s">
        <v>371</v>
      </c>
      <c r="BI31" t="s">
        <v>371</v>
      </c>
      <c r="BJ31" t="s">
        <v>371</v>
      </c>
      <c r="BK31" t="s">
        <v>371</v>
      </c>
      <c r="BL31" t="s">
        <v>371</v>
      </c>
      <c r="BM31" t="s">
        <v>371</v>
      </c>
      <c r="BN31" t="s">
        <v>371</v>
      </c>
      <c r="BO31" t="s">
        <v>371</v>
      </c>
      <c r="BQ31" t="s">
        <v>375</v>
      </c>
      <c r="BR31" s="73"/>
      <c r="CX31" s="73"/>
      <c r="EQ31" s="73"/>
      <c r="FT31">
        <v>0</v>
      </c>
      <c r="FZ31" t="s">
        <v>371</v>
      </c>
      <c r="GA31" t="s">
        <v>371</v>
      </c>
      <c r="GB31" t="s">
        <v>371</v>
      </c>
      <c r="GC31" t="s">
        <v>371</v>
      </c>
      <c r="GD31" t="s">
        <v>371</v>
      </c>
      <c r="GF31" t="s">
        <v>371</v>
      </c>
      <c r="GG31" t="s">
        <v>371</v>
      </c>
      <c r="GH31" t="s">
        <v>371</v>
      </c>
      <c r="GI31" t="s">
        <v>371</v>
      </c>
      <c r="GJ31" t="s">
        <v>371</v>
      </c>
      <c r="GK31" t="s">
        <v>371</v>
      </c>
      <c r="GN31" t="s">
        <v>371</v>
      </c>
      <c r="GO31" t="s">
        <v>371</v>
      </c>
      <c r="GP31" t="s">
        <v>371</v>
      </c>
      <c r="GQ31" t="s">
        <v>371</v>
      </c>
      <c r="GR31" t="s">
        <v>371</v>
      </c>
      <c r="GS31" t="s">
        <v>371</v>
      </c>
      <c r="GT31" t="s">
        <v>371</v>
      </c>
      <c r="GU31" t="s">
        <v>371</v>
      </c>
      <c r="GV31" t="s">
        <v>371</v>
      </c>
      <c r="GW31" t="s">
        <v>371</v>
      </c>
      <c r="GX31" t="s">
        <v>371</v>
      </c>
      <c r="HA31" t="s">
        <v>375</v>
      </c>
    </row>
    <row r="32" spans="1:209" ht="14.25" customHeight="1" x14ac:dyDescent="0.25">
      <c r="A32" t="s">
        <v>429</v>
      </c>
      <c r="B32" t="s">
        <v>376</v>
      </c>
      <c r="C32">
        <v>1</v>
      </c>
      <c r="D32" t="s">
        <v>366</v>
      </c>
      <c r="E32" s="73"/>
      <c r="AA32" t="s">
        <v>377</v>
      </c>
      <c r="AB32" s="73">
        <v>46189</v>
      </c>
      <c r="AC32" t="s">
        <v>378</v>
      </c>
      <c r="AF32" t="s">
        <v>379</v>
      </c>
      <c r="AI32" t="s">
        <v>400</v>
      </c>
      <c r="AJ32">
        <v>0</v>
      </c>
      <c r="AK32" t="s">
        <v>372</v>
      </c>
      <c r="AO32" t="s">
        <v>430</v>
      </c>
      <c r="AP32" t="s">
        <v>374</v>
      </c>
      <c r="AQ32" s="73"/>
      <c r="BR32" s="73"/>
      <c r="CX32" s="73"/>
      <c r="EQ32" s="73"/>
    </row>
    <row r="33" spans="1:209" ht="14.25" customHeight="1" x14ac:dyDescent="0.25">
      <c r="A33" t="s">
        <v>431</v>
      </c>
      <c r="D33" t="s">
        <v>366</v>
      </c>
      <c r="E33" s="73">
        <v>46189</v>
      </c>
      <c r="F33" t="s">
        <v>367</v>
      </c>
      <c r="H33" t="s">
        <v>403</v>
      </c>
      <c r="I33" t="s">
        <v>403</v>
      </c>
      <c r="J33">
        <v>1979</v>
      </c>
      <c r="K33" t="s">
        <v>391</v>
      </c>
      <c r="L33" t="s">
        <v>370</v>
      </c>
      <c r="M33" t="s">
        <v>371</v>
      </c>
      <c r="N33" t="s">
        <v>371</v>
      </c>
      <c r="O33" t="s">
        <v>371</v>
      </c>
      <c r="P33" t="s">
        <v>371</v>
      </c>
      <c r="Q33" t="s">
        <v>371</v>
      </c>
      <c r="R33" t="s">
        <v>372</v>
      </c>
      <c r="S33" t="s">
        <v>372</v>
      </c>
      <c r="T33" t="s">
        <v>372</v>
      </c>
      <c r="U33" t="s">
        <v>367</v>
      </c>
      <c r="W33" t="s">
        <v>367</v>
      </c>
      <c r="X33" t="s">
        <v>432</v>
      </c>
      <c r="Y33" t="s">
        <v>421</v>
      </c>
      <c r="Z33" t="s">
        <v>374</v>
      </c>
      <c r="AB33" s="73"/>
      <c r="AQ33" s="73"/>
      <c r="BG33" t="s">
        <v>371</v>
      </c>
      <c r="BH33" t="s">
        <v>371</v>
      </c>
      <c r="BI33" t="s">
        <v>371</v>
      </c>
      <c r="BJ33" t="s">
        <v>371</v>
      </c>
      <c r="BK33" t="s">
        <v>371</v>
      </c>
      <c r="BL33" t="s">
        <v>371</v>
      </c>
      <c r="BM33" t="s">
        <v>371</v>
      </c>
      <c r="BN33" t="s">
        <v>371</v>
      </c>
      <c r="BO33" t="s">
        <v>371</v>
      </c>
      <c r="BQ33" t="s">
        <v>375</v>
      </c>
      <c r="BR33" s="73"/>
      <c r="CX33" s="73"/>
      <c r="EQ33" s="73"/>
      <c r="FT33">
        <v>0</v>
      </c>
      <c r="FZ33" t="s">
        <v>371</v>
      </c>
      <c r="GA33" t="s">
        <v>371</v>
      </c>
      <c r="GB33" t="s">
        <v>371</v>
      </c>
      <c r="GC33" t="s">
        <v>371</v>
      </c>
      <c r="GD33" t="s">
        <v>371</v>
      </c>
      <c r="GF33" t="s">
        <v>371</v>
      </c>
      <c r="GG33" t="s">
        <v>371</v>
      </c>
      <c r="GH33" t="s">
        <v>371</v>
      </c>
      <c r="GI33" t="s">
        <v>371</v>
      </c>
      <c r="GJ33" t="s">
        <v>371</v>
      </c>
      <c r="GK33" t="s">
        <v>371</v>
      </c>
      <c r="GN33" t="s">
        <v>371</v>
      </c>
      <c r="GO33" t="s">
        <v>371</v>
      </c>
      <c r="GP33" t="s">
        <v>371</v>
      </c>
      <c r="GQ33" t="s">
        <v>371</v>
      </c>
      <c r="GR33" t="s">
        <v>371</v>
      </c>
      <c r="GS33" t="s">
        <v>371</v>
      </c>
      <c r="GT33" t="s">
        <v>371</v>
      </c>
      <c r="GU33" t="s">
        <v>371</v>
      </c>
      <c r="GV33" t="s">
        <v>371</v>
      </c>
      <c r="GW33" t="s">
        <v>371</v>
      </c>
      <c r="GX33" t="s">
        <v>371</v>
      </c>
      <c r="HA33" t="s">
        <v>375</v>
      </c>
    </row>
    <row r="34" spans="1:209" ht="14.25" customHeight="1" x14ac:dyDescent="0.25">
      <c r="A34" t="s">
        <v>431</v>
      </c>
      <c r="B34" t="s">
        <v>376</v>
      </c>
      <c r="C34">
        <v>1</v>
      </c>
      <c r="D34" t="s">
        <v>366</v>
      </c>
      <c r="E34" s="73"/>
      <c r="AA34" t="s">
        <v>377</v>
      </c>
      <c r="AB34" s="73">
        <v>46189</v>
      </c>
      <c r="AC34" t="s">
        <v>378</v>
      </c>
      <c r="AF34" t="s">
        <v>379</v>
      </c>
      <c r="AI34" t="s">
        <v>433</v>
      </c>
      <c r="AJ34">
        <v>0</v>
      </c>
      <c r="AK34" t="s">
        <v>372</v>
      </c>
      <c r="AP34" t="s">
        <v>374</v>
      </c>
      <c r="AQ34" s="73"/>
      <c r="BR34" s="73"/>
      <c r="CX34" s="73"/>
      <c r="EQ34" s="73"/>
    </row>
    <row r="35" spans="1:209" ht="14.25" customHeight="1" x14ac:dyDescent="0.25">
      <c r="A35" t="s">
        <v>431</v>
      </c>
      <c r="B35" t="s">
        <v>381</v>
      </c>
      <c r="C35">
        <v>1</v>
      </c>
      <c r="D35" t="s">
        <v>366</v>
      </c>
      <c r="E35" s="73"/>
      <c r="AB35" s="73"/>
      <c r="AQ35" s="73">
        <v>46189</v>
      </c>
      <c r="AR35" t="s">
        <v>434</v>
      </c>
      <c r="AU35" t="s">
        <v>385</v>
      </c>
      <c r="AV35" t="s">
        <v>383</v>
      </c>
      <c r="AW35" t="s">
        <v>385</v>
      </c>
      <c r="AX35" t="s">
        <v>383</v>
      </c>
      <c r="AY35" t="s">
        <v>383</v>
      </c>
      <c r="AZ35" t="s">
        <v>383</v>
      </c>
      <c r="BA35" t="s">
        <v>372</v>
      </c>
      <c r="BB35" t="s">
        <v>367</v>
      </c>
      <c r="BC35">
        <v>10</v>
      </c>
      <c r="BD35" t="s">
        <v>374</v>
      </c>
      <c r="BR35" s="73"/>
      <c r="CX35" s="73"/>
      <c r="EQ35" s="73"/>
    </row>
    <row r="36" spans="1:209" ht="14.25" customHeight="1" x14ac:dyDescent="0.25">
      <c r="A36" t="s">
        <v>435</v>
      </c>
      <c r="D36" t="s">
        <v>366</v>
      </c>
      <c r="E36" s="73">
        <v>46189</v>
      </c>
      <c r="F36" t="s">
        <v>367</v>
      </c>
      <c r="H36" t="s">
        <v>403</v>
      </c>
      <c r="I36" t="s">
        <v>403</v>
      </c>
      <c r="J36">
        <v>1999</v>
      </c>
      <c r="K36" t="s">
        <v>369</v>
      </c>
      <c r="L36" t="s">
        <v>370</v>
      </c>
      <c r="M36" t="s">
        <v>371</v>
      </c>
      <c r="N36" t="s">
        <v>371</v>
      </c>
      <c r="O36" t="s">
        <v>371</v>
      </c>
      <c r="P36" t="s">
        <v>371</v>
      </c>
      <c r="Q36" t="s">
        <v>371</v>
      </c>
      <c r="R36" t="s">
        <v>372</v>
      </c>
      <c r="S36" t="s">
        <v>372</v>
      </c>
      <c r="T36" t="s">
        <v>367</v>
      </c>
      <c r="U36" t="s">
        <v>367</v>
      </c>
      <c r="W36" t="s">
        <v>367</v>
      </c>
      <c r="X36" t="s">
        <v>373</v>
      </c>
      <c r="Y36" t="s">
        <v>421</v>
      </c>
      <c r="Z36" t="s">
        <v>374</v>
      </c>
      <c r="AB36" s="73"/>
      <c r="AQ36" s="73"/>
      <c r="BG36" t="s">
        <v>371</v>
      </c>
      <c r="BH36" t="s">
        <v>371</v>
      </c>
      <c r="BI36" t="s">
        <v>371</v>
      </c>
      <c r="BJ36" t="s">
        <v>371</v>
      </c>
      <c r="BK36" t="s">
        <v>371</v>
      </c>
      <c r="BL36" t="s">
        <v>371</v>
      </c>
      <c r="BM36" t="s">
        <v>371</v>
      </c>
      <c r="BN36" t="s">
        <v>371</v>
      </c>
      <c r="BO36" t="s">
        <v>371</v>
      </c>
      <c r="BQ36" t="s">
        <v>375</v>
      </c>
      <c r="BR36" s="73"/>
      <c r="CX36" s="73"/>
      <c r="EQ36" s="73"/>
      <c r="FT36">
        <v>0</v>
      </c>
      <c r="FZ36" t="s">
        <v>371</v>
      </c>
      <c r="GA36" t="s">
        <v>371</v>
      </c>
      <c r="GB36" t="s">
        <v>371</v>
      </c>
      <c r="GC36" t="s">
        <v>371</v>
      </c>
      <c r="GD36" t="s">
        <v>371</v>
      </c>
      <c r="GF36" t="s">
        <v>371</v>
      </c>
      <c r="GG36" t="s">
        <v>371</v>
      </c>
      <c r="GH36" t="s">
        <v>371</v>
      </c>
      <c r="GI36" t="s">
        <v>371</v>
      </c>
      <c r="GJ36" t="s">
        <v>371</v>
      </c>
      <c r="GK36" t="s">
        <v>371</v>
      </c>
      <c r="GN36" t="s">
        <v>371</v>
      </c>
      <c r="GO36" t="s">
        <v>371</v>
      </c>
      <c r="GP36" t="s">
        <v>371</v>
      </c>
      <c r="GQ36" t="s">
        <v>371</v>
      </c>
      <c r="GR36" t="s">
        <v>371</v>
      </c>
      <c r="GS36" t="s">
        <v>371</v>
      </c>
      <c r="GT36" t="s">
        <v>371</v>
      </c>
      <c r="GU36" t="s">
        <v>371</v>
      </c>
      <c r="GV36" t="s">
        <v>371</v>
      </c>
      <c r="GW36" t="s">
        <v>371</v>
      </c>
      <c r="GX36" t="s">
        <v>371</v>
      </c>
      <c r="HA36" t="s">
        <v>375</v>
      </c>
    </row>
    <row r="37" spans="1:209" ht="14.25" customHeight="1" x14ac:dyDescent="0.25">
      <c r="A37" t="s">
        <v>435</v>
      </c>
      <c r="B37" t="s">
        <v>376</v>
      </c>
      <c r="C37">
        <v>1</v>
      </c>
      <c r="D37" t="s">
        <v>366</v>
      </c>
      <c r="E37" s="73"/>
      <c r="AA37" t="s">
        <v>377</v>
      </c>
      <c r="AB37" s="73">
        <v>46189</v>
      </c>
      <c r="AC37" t="s">
        <v>378</v>
      </c>
      <c r="AF37" t="s">
        <v>379</v>
      </c>
      <c r="AI37" t="s">
        <v>393</v>
      </c>
      <c r="AJ37">
        <v>0</v>
      </c>
      <c r="AK37" t="s">
        <v>372</v>
      </c>
      <c r="AP37" t="s">
        <v>374</v>
      </c>
      <c r="AQ37" s="73"/>
      <c r="BR37" s="73"/>
      <c r="CX37" s="73"/>
      <c r="EQ37" s="73"/>
    </row>
    <row r="38" spans="1:209" ht="14.25" customHeight="1" x14ac:dyDescent="0.25">
      <c r="A38" t="s">
        <v>435</v>
      </c>
      <c r="B38" t="s">
        <v>381</v>
      </c>
      <c r="C38">
        <v>1</v>
      </c>
      <c r="D38" t="s">
        <v>366</v>
      </c>
      <c r="E38" s="73"/>
      <c r="AB38" s="73"/>
      <c r="AQ38" s="73">
        <v>46189</v>
      </c>
      <c r="AR38" t="s">
        <v>394</v>
      </c>
      <c r="AU38" t="s">
        <v>383</v>
      </c>
      <c r="AV38" t="s">
        <v>383</v>
      </c>
      <c r="AW38" t="s">
        <v>384</v>
      </c>
      <c r="AX38" t="s">
        <v>383</v>
      </c>
      <c r="AY38" t="s">
        <v>383</v>
      </c>
      <c r="AZ38" t="s">
        <v>384</v>
      </c>
      <c r="BA38" t="s">
        <v>367</v>
      </c>
      <c r="BB38" t="s">
        <v>372</v>
      </c>
      <c r="BC38">
        <v>6</v>
      </c>
      <c r="BD38" t="s">
        <v>374</v>
      </c>
      <c r="BR38" s="73"/>
      <c r="CX38" s="73"/>
      <c r="EQ38" s="73"/>
    </row>
    <row r="39" spans="1:209" ht="14.25" customHeight="1" x14ac:dyDescent="0.25">
      <c r="A39" t="s">
        <v>436</v>
      </c>
      <c r="D39" t="s">
        <v>366</v>
      </c>
      <c r="E39" s="73">
        <v>46189</v>
      </c>
      <c r="F39" t="s">
        <v>367</v>
      </c>
      <c r="H39" t="s">
        <v>368</v>
      </c>
      <c r="I39" t="s">
        <v>368</v>
      </c>
      <c r="J39">
        <v>1972</v>
      </c>
      <c r="K39" t="s">
        <v>369</v>
      </c>
      <c r="L39" t="s">
        <v>370</v>
      </c>
      <c r="M39" t="s">
        <v>371</v>
      </c>
      <c r="N39" t="s">
        <v>371</v>
      </c>
      <c r="O39" t="s">
        <v>371</v>
      </c>
      <c r="P39" t="s">
        <v>371</v>
      </c>
      <c r="Q39" t="s">
        <v>371</v>
      </c>
      <c r="R39" t="s">
        <v>372</v>
      </c>
      <c r="S39" t="s">
        <v>372</v>
      </c>
      <c r="T39" t="s">
        <v>367</v>
      </c>
      <c r="U39" t="s">
        <v>372</v>
      </c>
      <c r="V39" t="s">
        <v>372</v>
      </c>
      <c r="W39" t="s">
        <v>367</v>
      </c>
      <c r="X39" t="s">
        <v>432</v>
      </c>
      <c r="Y39" t="s">
        <v>396</v>
      </c>
      <c r="Z39" t="s">
        <v>374</v>
      </c>
      <c r="AB39" s="73"/>
      <c r="AQ39" s="73"/>
      <c r="BG39" t="s">
        <v>371</v>
      </c>
      <c r="BH39" t="s">
        <v>371</v>
      </c>
      <c r="BI39" t="s">
        <v>371</v>
      </c>
      <c r="BJ39" t="s">
        <v>371</v>
      </c>
      <c r="BK39" t="s">
        <v>371</v>
      </c>
      <c r="BL39" t="s">
        <v>371</v>
      </c>
      <c r="BM39" t="s">
        <v>371</v>
      </c>
      <c r="BN39" t="s">
        <v>371</v>
      </c>
      <c r="BO39" t="s">
        <v>371</v>
      </c>
      <c r="BQ39" t="s">
        <v>375</v>
      </c>
      <c r="BR39" s="73"/>
      <c r="CX39" s="73"/>
      <c r="EQ39" s="73"/>
      <c r="FT39">
        <v>0</v>
      </c>
      <c r="FZ39" t="s">
        <v>371</v>
      </c>
      <c r="GA39" t="s">
        <v>371</v>
      </c>
      <c r="GB39" t="s">
        <v>371</v>
      </c>
      <c r="GC39" t="s">
        <v>371</v>
      </c>
      <c r="GD39" t="s">
        <v>371</v>
      </c>
      <c r="GF39" t="s">
        <v>371</v>
      </c>
      <c r="GG39" t="s">
        <v>371</v>
      </c>
      <c r="GH39" t="s">
        <v>371</v>
      </c>
      <c r="GI39" t="s">
        <v>371</v>
      </c>
      <c r="GJ39" t="s">
        <v>371</v>
      </c>
      <c r="GK39" t="s">
        <v>371</v>
      </c>
      <c r="GN39" t="s">
        <v>371</v>
      </c>
      <c r="GO39" t="s">
        <v>371</v>
      </c>
      <c r="GP39" t="s">
        <v>371</v>
      </c>
      <c r="GQ39" t="s">
        <v>371</v>
      </c>
      <c r="GR39" t="s">
        <v>371</v>
      </c>
      <c r="GS39" t="s">
        <v>371</v>
      </c>
      <c r="GT39" t="s">
        <v>371</v>
      </c>
      <c r="GU39" t="s">
        <v>371</v>
      </c>
      <c r="GV39" t="s">
        <v>371</v>
      </c>
      <c r="GW39" t="s">
        <v>371</v>
      </c>
      <c r="GX39" t="s">
        <v>371</v>
      </c>
      <c r="HA39" t="s">
        <v>375</v>
      </c>
    </row>
    <row r="40" spans="1:209" ht="14.25" customHeight="1" x14ac:dyDescent="0.25">
      <c r="A40" t="s">
        <v>436</v>
      </c>
      <c r="B40" t="s">
        <v>376</v>
      </c>
      <c r="C40">
        <v>1</v>
      </c>
      <c r="D40" t="s">
        <v>366</v>
      </c>
      <c r="E40" s="73"/>
      <c r="AA40" t="s">
        <v>377</v>
      </c>
      <c r="AB40" s="73">
        <v>46189</v>
      </c>
      <c r="AC40" t="s">
        <v>378</v>
      </c>
      <c r="AF40" t="s">
        <v>379</v>
      </c>
      <c r="AI40" t="s">
        <v>393</v>
      </c>
      <c r="AJ40">
        <v>0</v>
      </c>
      <c r="AK40" t="s">
        <v>372</v>
      </c>
      <c r="AP40" t="s">
        <v>374</v>
      </c>
      <c r="AQ40" s="73"/>
      <c r="BR40" s="73"/>
      <c r="CX40" s="73"/>
      <c r="EQ40" s="73"/>
    </row>
    <row r="41" spans="1:209" ht="14.25" customHeight="1" x14ac:dyDescent="0.25">
      <c r="A41" t="s">
        <v>436</v>
      </c>
      <c r="B41" t="s">
        <v>381</v>
      </c>
      <c r="C41">
        <v>1</v>
      </c>
      <c r="D41" t="s">
        <v>366</v>
      </c>
      <c r="E41" s="73"/>
      <c r="AB41" s="73"/>
      <c r="AQ41" s="73">
        <v>46189</v>
      </c>
      <c r="AR41" t="s">
        <v>382</v>
      </c>
      <c r="AU41" t="s">
        <v>383</v>
      </c>
      <c r="AV41" t="s">
        <v>383</v>
      </c>
      <c r="AW41" t="s">
        <v>383</v>
      </c>
      <c r="AX41" t="s">
        <v>385</v>
      </c>
      <c r="AY41" t="s">
        <v>404</v>
      </c>
      <c r="AZ41" t="s">
        <v>383</v>
      </c>
      <c r="BA41" t="s">
        <v>367</v>
      </c>
      <c r="BB41" t="s">
        <v>372</v>
      </c>
      <c r="BC41">
        <v>11</v>
      </c>
      <c r="BD41" t="s">
        <v>374</v>
      </c>
      <c r="BR41" s="73"/>
      <c r="CX41" s="73"/>
      <c r="EQ41" s="73"/>
    </row>
    <row r="42" spans="1:209" ht="14.25" customHeight="1" x14ac:dyDescent="0.25">
      <c r="A42" t="s">
        <v>436</v>
      </c>
      <c r="B42" t="s">
        <v>410</v>
      </c>
      <c r="C42">
        <v>1</v>
      </c>
      <c r="D42" t="s">
        <v>366</v>
      </c>
      <c r="E42" s="73"/>
      <c r="AB42" s="73"/>
      <c r="AQ42" s="73"/>
      <c r="BR42" s="73"/>
      <c r="CX42" s="73">
        <v>46191</v>
      </c>
      <c r="CY42" t="s">
        <v>411</v>
      </c>
      <c r="CZ42" t="s">
        <v>422</v>
      </c>
      <c r="DA42" t="s">
        <v>413</v>
      </c>
      <c r="DC42" t="s">
        <v>423</v>
      </c>
      <c r="DE42" t="s">
        <v>437</v>
      </c>
      <c r="DG42" t="s">
        <v>367</v>
      </c>
      <c r="DH42" t="s">
        <v>367</v>
      </c>
      <c r="DI42" t="s">
        <v>367</v>
      </c>
      <c r="DK42" t="s">
        <v>370</v>
      </c>
      <c r="DL42" t="s">
        <v>371</v>
      </c>
      <c r="DM42" t="s">
        <v>371</v>
      </c>
      <c r="DN42" t="s">
        <v>371</v>
      </c>
      <c r="DO42" t="s">
        <v>372</v>
      </c>
      <c r="DP42" t="s">
        <v>426</v>
      </c>
      <c r="DQ42" t="s">
        <v>371</v>
      </c>
      <c r="DR42" t="s">
        <v>371</v>
      </c>
      <c r="DS42" t="s">
        <v>371</v>
      </c>
      <c r="DT42" t="s">
        <v>371</v>
      </c>
      <c r="DU42" t="s">
        <v>371</v>
      </c>
      <c r="DV42" t="s">
        <v>371</v>
      </c>
      <c r="DW42" t="s">
        <v>371</v>
      </c>
      <c r="DX42" t="s">
        <v>370</v>
      </c>
      <c r="DY42" t="s">
        <v>371</v>
      </c>
      <c r="DZ42" t="s">
        <v>371</v>
      </c>
      <c r="EA42" t="s">
        <v>371</v>
      </c>
      <c r="EB42" t="s">
        <v>371</v>
      </c>
      <c r="EC42" t="s">
        <v>371</v>
      </c>
      <c r="ED42" t="s">
        <v>371</v>
      </c>
      <c r="EE42" t="s">
        <v>371</v>
      </c>
      <c r="EF42" t="s">
        <v>371</v>
      </c>
      <c r="EG42" t="s">
        <v>371</v>
      </c>
      <c r="EH42" t="s">
        <v>371</v>
      </c>
      <c r="EI42" t="s">
        <v>427</v>
      </c>
      <c r="EJ42" t="s">
        <v>370</v>
      </c>
      <c r="EK42" t="s">
        <v>370</v>
      </c>
      <c r="EL42" t="s">
        <v>370</v>
      </c>
      <c r="EM42" t="s">
        <v>371</v>
      </c>
      <c r="EN42" t="s">
        <v>371</v>
      </c>
      <c r="EO42" t="s">
        <v>371</v>
      </c>
      <c r="EQ42" s="73">
        <v>46221</v>
      </c>
      <c r="ER42" t="s">
        <v>438</v>
      </c>
      <c r="ES42" t="s">
        <v>374</v>
      </c>
    </row>
    <row r="43" spans="1:209" ht="14.25" customHeight="1" x14ac:dyDescent="0.25">
      <c r="A43" t="s">
        <v>439</v>
      </c>
      <c r="D43" t="s">
        <v>366</v>
      </c>
      <c r="E43" s="73">
        <v>46189</v>
      </c>
      <c r="F43" t="s">
        <v>367</v>
      </c>
      <c r="H43" t="s">
        <v>368</v>
      </c>
      <c r="I43" t="s">
        <v>368</v>
      </c>
      <c r="J43">
        <v>1969</v>
      </c>
      <c r="K43" t="s">
        <v>369</v>
      </c>
      <c r="L43" t="s">
        <v>370</v>
      </c>
      <c r="M43" t="s">
        <v>371</v>
      </c>
      <c r="N43" t="s">
        <v>371</v>
      </c>
      <c r="O43" t="s">
        <v>371</v>
      </c>
      <c r="P43" t="s">
        <v>371</v>
      </c>
      <c r="Q43" t="s">
        <v>371</v>
      </c>
      <c r="R43" t="s">
        <v>372</v>
      </c>
      <c r="S43" t="s">
        <v>372</v>
      </c>
      <c r="T43" t="s">
        <v>367</v>
      </c>
      <c r="U43" t="s">
        <v>367</v>
      </c>
      <c r="W43" t="s">
        <v>367</v>
      </c>
      <c r="X43" t="s">
        <v>373</v>
      </c>
      <c r="Y43" t="s">
        <v>421</v>
      </c>
      <c r="Z43" t="s">
        <v>374</v>
      </c>
      <c r="AB43" s="73"/>
      <c r="AQ43" s="73"/>
      <c r="BG43" t="s">
        <v>371</v>
      </c>
      <c r="BH43" t="s">
        <v>371</v>
      </c>
      <c r="BI43" t="s">
        <v>371</v>
      </c>
      <c r="BJ43" t="s">
        <v>371</v>
      </c>
      <c r="BK43" t="s">
        <v>371</v>
      </c>
      <c r="BL43" t="s">
        <v>371</v>
      </c>
      <c r="BM43" t="s">
        <v>371</v>
      </c>
      <c r="BN43" t="s">
        <v>371</v>
      </c>
      <c r="BO43" t="s">
        <v>371</v>
      </c>
      <c r="BQ43" t="s">
        <v>375</v>
      </c>
      <c r="BR43" s="73"/>
      <c r="CX43" s="73"/>
      <c r="EQ43" s="73"/>
      <c r="FT43">
        <v>0</v>
      </c>
      <c r="FZ43" t="s">
        <v>371</v>
      </c>
      <c r="GA43" t="s">
        <v>371</v>
      </c>
      <c r="GB43" t="s">
        <v>371</v>
      </c>
      <c r="GC43" t="s">
        <v>371</v>
      </c>
      <c r="GD43" t="s">
        <v>371</v>
      </c>
      <c r="GF43" t="s">
        <v>371</v>
      </c>
      <c r="GG43" t="s">
        <v>371</v>
      </c>
      <c r="GH43" t="s">
        <v>371</v>
      </c>
      <c r="GI43" t="s">
        <v>371</v>
      </c>
      <c r="GJ43" t="s">
        <v>371</v>
      </c>
      <c r="GK43" t="s">
        <v>371</v>
      </c>
      <c r="GN43" t="s">
        <v>371</v>
      </c>
      <c r="GO43" t="s">
        <v>371</v>
      </c>
      <c r="GP43" t="s">
        <v>371</v>
      </c>
      <c r="GQ43" t="s">
        <v>371</v>
      </c>
      <c r="GR43" t="s">
        <v>371</v>
      </c>
      <c r="GS43" t="s">
        <v>371</v>
      </c>
      <c r="GT43" t="s">
        <v>371</v>
      </c>
      <c r="GU43" t="s">
        <v>371</v>
      </c>
      <c r="GV43" t="s">
        <v>371</v>
      </c>
      <c r="GW43" t="s">
        <v>371</v>
      </c>
      <c r="GX43" t="s">
        <v>371</v>
      </c>
      <c r="HA43" t="s">
        <v>375</v>
      </c>
    </row>
    <row r="44" spans="1:209" ht="14.25" customHeight="1" x14ac:dyDescent="0.25">
      <c r="A44" t="s">
        <v>439</v>
      </c>
      <c r="B44" t="s">
        <v>376</v>
      </c>
      <c r="C44">
        <v>1</v>
      </c>
      <c r="D44" t="s">
        <v>366</v>
      </c>
      <c r="E44" s="73"/>
      <c r="AA44" t="s">
        <v>377</v>
      </c>
      <c r="AB44" s="73">
        <v>46189</v>
      </c>
      <c r="AC44" t="s">
        <v>378</v>
      </c>
      <c r="AF44" t="s">
        <v>379</v>
      </c>
      <c r="AI44" t="s">
        <v>380</v>
      </c>
      <c r="AJ44">
        <v>0</v>
      </c>
      <c r="AK44" t="s">
        <v>372</v>
      </c>
      <c r="AP44" t="s">
        <v>374</v>
      </c>
      <c r="AQ44" s="73"/>
      <c r="BR44" s="73"/>
      <c r="CX44" s="73"/>
      <c r="EQ44" s="73"/>
    </row>
    <row r="45" spans="1:209" ht="14.25" customHeight="1" x14ac:dyDescent="0.25">
      <c r="A45" t="s">
        <v>439</v>
      </c>
      <c r="B45" t="s">
        <v>381</v>
      </c>
      <c r="C45">
        <v>1</v>
      </c>
      <c r="D45" t="s">
        <v>366</v>
      </c>
      <c r="E45" s="73"/>
      <c r="AB45" s="73"/>
      <c r="AQ45" s="73">
        <v>46189</v>
      </c>
      <c r="AR45" t="s">
        <v>397</v>
      </c>
      <c r="AU45" t="s">
        <v>383</v>
      </c>
      <c r="AV45" t="s">
        <v>383</v>
      </c>
      <c r="AW45" t="s">
        <v>384</v>
      </c>
      <c r="AX45" t="s">
        <v>385</v>
      </c>
      <c r="AY45" t="s">
        <v>385</v>
      </c>
      <c r="AZ45" t="s">
        <v>384</v>
      </c>
      <c r="BA45" t="s">
        <v>367</v>
      </c>
      <c r="BB45" t="s">
        <v>372</v>
      </c>
      <c r="BC45">
        <v>8</v>
      </c>
      <c r="BD45" t="s">
        <v>374</v>
      </c>
      <c r="BR45" s="73"/>
      <c r="CX45" s="73"/>
      <c r="EQ45" s="73"/>
    </row>
    <row r="46" spans="1:209" ht="14.25" customHeight="1" x14ac:dyDescent="0.25">
      <c r="A46" t="s">
        <v>439</v>
      </c>
      <c r="B46" t="s">
        <v>410</v>
      </c>
      <c r="C46">
        <v>1</v>
      </c>
      <c r="D46" t="s">
        <v>366</v>
      </c>
      <c r="E46" s="73"/>
      <c r="AB46" s="73"/>
      <c r="AQ46" s="73"/>
      <c r="BR46" s="73"/>
      <c r="CX46" s="73">
        <v>46195</v>
      </c>
      <c r="CY46" t="s">
        <v>411</v>
      </c>
      <c r="CZ46" t="s">
        <v>412</v>
      </c>
      <c r="DA46" t="s">
        <v>413</v>
      </c>
      <c r="DC46" t="s">
        <v>440</v>
      </c>
      <c r="DE46" t="s">
        <v>441</v>
      </c>
      <c r="DG46" t="s">
        <v>367</v>
      </c>
      <c r="DH46" t="s">
        <v>367</v>
      </c>
      <c r="DI46" t="s">
        <v>367</v>
      </c>
      <c r="DK46" t="s">
        <v>370</v>
      </c>
      <c r="DL46" t="s">
        <v>371</v>
      </c>
      <c r="DM46" t="s">
        <v>371</v>
      </c>
      <c r="DN46" t="s">
        <v>371</v>
      </c>
      <c r="DO46" t="s">
        <v>372</v>
      </c>
      <c r="DP46" t="s">
        <v>442</v>
      </c>
      <c r="DQ46" t="s">
        <v>371</v>
      </c>
      <c r="DR46" t="s">
        <v>370</v>
      </c>
      <c r="DS46" t="s">
        <v>371</v>
      </c>
      <c r="DT46" t="s">
        <v>371</v>
      </c>
      <c r="DU46" t="s">
        <v>371</v>
      </c>
      <c r="DV46" t="s">
        <v>371</v>
      </c>
      <c r="DW46" t="s">
        <v>371</v>
      </c>
      <c r="DX46" t="s">
        <v>371</v>
      </c>
      <c r="DY46" t="s">
        <v>371</v>
      </c>
      <c r="DZ46" t="s">
        <v>371</v>
      </c>
      <c r="EA46" t="s">
        <v>371</v>
      </c>
      <c r="EB46" t="s">
        <v>370</v>
      </c>
      <c r="EC46" t="s">
        <v>371</v>
      </c>
      <c r="ED46" t="s">
        <v>371</v>
      </c>
      <c r="EE46" t="s">
        <v>371</v>
      </c>
      <c r="EF46" t="s">
        <v>371</v>
      </c>
      <c r="EG46" t="s">
        <v>371</v>
      </c>
      <c r="EH46" t="s">
        <v>371</v>
      </c>
      <c r="EI46" t="s">
        <v>443</v>
      </c>
      <c r="EJ46" t="s">
        <v>370</v>
      </c>
      <c r="EK46" t="s">
        <v>370</v>
      </c>
      <c r="EL46" t="s">
        <v>370</v>
      </c>
      <c r="EM46" t="s">
        <v>370</v>
      </c>
      <c r="EN46" t="s">
        <v>370</v>
      </c>
      <c r="EO46" t="s">
        <v>371</v>
      </c>
      <c r="EQ46" s="73">
        <v>46225</v>
      </c>
      <c r="ER46" t="s">
        <v>444</v>
      </c>
      <c r="ES46" t="s">
        <v>374</v>
      </c>
    </row>
    <row r="47" spans="1:209" ht="14.25" customHeight="1" x14ac:dyDescent="0.25">
      <c r="A47" t="s">
        <v>445</v>
      </c>
      <c r="D47" t="s">
        <v>366</v>
      </c>
      <c r="E47" s="73">
        <v>46189</v>
      </c>
      <c r="F47" t="s">
        <v>367</v>
      </c>
      <c r="H47" t="s">
        <v>368</v>
      </c>
      <c r="I47" t="s">
        <v>368</v>
      </c>
      <c r="J47">
        <v>1975</v>
      </c>
      <c r="K47" t="s">
        <v>369</v>
      </c>
      <c r="L47" t="s">
        <v>370</v>
      </c>
      <c r="M47" t="s">
        <v>371</v>
      </c>
      <c r="N47" t="s">
        <v>371</v>
      </c>
      <c r="O47" t="s">
        <v>371</v>
      </c>
      <c r="P47" t="s">
        <v>371</v>
      </c>
      <c r="Q47" t="s">
        <v>371</v>
      </c>
      <c r="R47" t="s">
        <v>372</v>
      </c>
      <c r="S47" t="s">
        <v>372</v>
      </c>
      <c r="T47" t="s">
        <v>367</v>
      </c>
      <c r="U47" t="s">
        <v>367</v>
      </c>
      <c r="W47" t="s">
        <v>367</v>
      </c>
      <c r="X47" t="s">
        <v>392</v>
      </c>
      <c r="Y47" t="s">
        <v>421</v>
      </c>
      <c r="Z47" t="s">
        <v>374</v>
      </c>
      <c r="AB47" s="73"/>
      <c r="AQ47" s="73"/>
      <c r="BG47" t="s">
        <v>371</v>
      </c>
      <c r="BH47" t="s">
        <v>371</v>
      </c>
      <c r="BI47" t="s">
        <v>371</v>
      </c>
      <c r="BJ47" t="s">
        <v>371</v>
      </c>
      <c r="BK47" t="s">
        <v>371</v>
      </c>
      <c r="BL47" t="s">
        <v>371</v>
      </c>
      <c r="BM47" t="s">
        <v>371</v>
      </c>
      <c r="BN47" t="s">
        <v>371</v>
      </c>
      <c r="BO47" t="s">
        <v>371</v>
      </c>
      <c r="BQ47" t="s">
        <v>375</v>
      </c>
      <c r="BR47" s="73"/>
      <c r="CX47" s="73"/>
      <c r="EQ47" s="73"/>
      <c r="FT47">
        <v>0</v>
      </c>
      <c r="FZ47" t="s">
        <v>371</v>
      </c>
      <c r="GA47" t="s">
        <v>371</v>
      </c>
      <c r="GB47" t="s">
        <v>371</v>
      </c>
      <c r="GC47" t="s">
        <v>371</v>
      </c>
      <c r="GD47" t="s">
        <v>371</v>
      </c>
      <c r="GF47" t="s">
        <v>371</v>
      </c>
      <c r="GG47" t="s">
        <v>371</v>
      </c>
      <c r="GH47" t="s">
        <v>371</v>
      </c>
      <c r="GI47" t="s">
        <v>371</v>
      </c>
      <c r="GJ47" t="s">
        <v>371</v>
      </c>
      <c r="GK47" t="s">
        <v>371</v>
      </c>
      <c r="GN47" t="s">
        <v>371</v>
      </c>
      <c r="GO47" t="s">
        <v>371</v>
      </c>
      <c r="GP47" t="s">
        <v>371</v>
      </c>
      <c r="GQ47" t="s">
        <v>371</v>
      </c>
      <c r="GR47" t="s">
        <v>371</v>
      </c>
      <c r="GS47" t="s">
        <v>371</v>
      </c>
      <c r="GT47" t="s">
        <v>371</v>
      </c>
      <c r="GU47" t="s">
        <v>371</v>
      </c>
      <c r="GV47" t="s">
        <v>371</v>
      </c>
      <c r="GW47" t="s">
        <v>371</v>
      </c>
      <c r="GX47" t="s">
        <v>371</v>
      </c>
      <c r="HA47" t="s">
        <v>375</v>
      </c>
    </row>
    <row r="48" spans="1:209" ht="14.25" customHeight="1" x14ac:dyDescent="0.25">
      <c r="A48" t="s">
        <v>445</v>
      </c>
      <c r="B48" t="s">
        <v>376</v>
      </c>
      <c r="C48">
        <v>1</v>
      </c>
      <c r="D48" t="s">
        <v>366</v>
      </c>
      <c r="E48" s="73"/>
      <c r="AA48" t="s">
        <v>377</v>
      </c>
      <c r="AB48" s="73">
        <v>46189</v>
      </c>
      <c r="AC48" t="s">
        <v>378</v>
      </c>
      <c r="AF48" t="s">
        <v>379</v>
      </c>
      <c r="AI48" t="s">
        <v>380</v>
      </c>
      <c r="AJ48">
        <v>0</v>
      </c>
      <c r="AK48" t="s">
        <v>372</v>
      </c>
      <c r="AO48" t="s">
        <v>446</v>
      </c>
      <c r="AP48" t="s">
        <v>374</v>
      </c>
      <c r="AQ48" s="73"/>
      <c r="BR48" s="73"/>
      <c r="CX48" s="73"/>
      <c r="EQ48" s="73"/>
    </row>
    <row r="49" spans="1:209" ht="14.25" customHeight="1" x14ac:dyDescent="0.25">
      <c r="A49" t="s">
        <v>447</v>
      </c>
      <c r="D49" t="s">
        <v>366</v>
      </c>
      <c r="E49" s="73">
        <v>46189</v>
      </c>
      <c r="F49" t="s">
        <v>367</v>
      </c>
      <c r="H49" t="s">
        <v>403</v>
      </c>
      <c r="I49" t="s">
        <v>403</v>
      </c>
      <c r="J49">
        <v>1978</v>
      </c>
      <c r="K49" t="s">
        <v>448</v>
      </c>
      <c r="L49" t="s">
        <v>371</v>
      </c>
      <c r="M49" t="s">
        <v>370</v>
      </c>
      <c r="N49" t="s">
        <v>371</v>
      </c>
      <c r="O49" t="s">
        <v>371</v>
      </c>
      <c r="P49" t="s">
        <v>371</v>
      </c>
      <c r="Q49" t="s">
        <v>371</v>
      </c>
      <c r="R49" t="s">
        <v>372</v>
      </c>
      <c r="S49" t="s">
        <v>372</v>
      </c>
      <c r="T49" t="s">
        <v>367</v>
      </c>
      <c r="U49" t="s">
        <v>367</v>
      </c>
      <c r="W49" t="s">
        <v>372</v>
      </c>
      <c r="X49" t="s">
        <v>432</v>
      </c>
      <c r="Y49" t="s">
        <v>421</v>
      </c>
      <c r="Z49" t="s">
        <v>374</v>
      </c>
      <c r="AB49" s="73"/>
      <c r="AQ49" s="73"/>
      <c r="BG49" t="s">
        <v>371</v>
      </c>
      <c r="BH49" t="s">
        <v>371</v>
      </c>
      <c r="BI49" t="s">
        <v>371</v>
      </c>
      <c r="BJ49" t="s">
        <v>371</v>
      </c>
      <c r="BK49" t="s">
        <v>371</v>
      </c>
      <c r="BL49" t="s">
        <v>371</v>
      </c>
      <c r="BM49" t="s">
        <v>371</v>
      </c>
      <c r="BN49" t="s">
        <v>371</v>
      </c>
      <c r="BO49" t="s">
        <v>371</v>
      </c>
      <c r="BQ49" t="s">
        <v>375</v>
      </c>
      <c r="BR49" s="73"/>
      <c r="CX49" s="73"/>
      <c r="EQ49" s="73"/>
      <c r="FT49">
        <v>0</v>
      </c>
      <c r="FZ49" t="s">
        <v>371</v>
      </c>
      <c r="GA49" t="s">
        <v>371</v>
      </c>
      <c r="GB49" t="s">
        <v>371</v>
      </c>
      <c r="GC49" t="s">
        <v>371</v>
      </c>
      <c r="GD49" t="s">
        <v>371</v>
      </c>
      <c r="GF49" t="s">
        <v>371</v>
      </c>
      <c r="GG49" t="s">
        <v>371</v>
      </c>
      <c r="GH49" t="s">
        <v>371</v>
      </c>
      <c r="GI49" t="s">
        <v>371</v>
      </c>
      <c r="GJ49" t="s">
        <v>371</v>
      </c>
      <c r="GK49" t="s">
        <v>371</v>
      </c>
      <c r="GN49" t="s">
        <v>371</v>
      </c>
      <c r="GO49" t="s">
        <v>371</v>
      </c>
      <c r="GP49" t="s">
        <v>371</v>
      </c>
      <c r="GQ49" t="s">
        <v>371</v>
      </c>
      <c r="GR49" t="s">
        <v>371</v>
      </c>
      <c r="GS49" t="s">
        <v>371</v>
      </c>
      <c r="GT49" t="s">
        <v>371</v>
      </c>
      <c r="GU49" t="s">
        <v>371</v>
      </c>
      <c r="GV49" t="s">
        <v>371</v>
      </c>
      <c r="GW49" t="s">
        <v>371</v>
      </c>
      <c r="GX49" t="s">
        <v>371</v>
      </c>
      <c r="HA49" t="s">
        <v>375</v>
      </c>
    </row>
    <row r="50" spans="1:209" ht="14.25" customHeight="1" x14ac:dyDescent="0.25">
      <c r="A50" t="s">
        <v>447</v>
      </c>
      <c r="B50" t="s">
        <v>376</v>
      </c>
      <c r="C50">
        <v>1</v>
      </c>
      <c r="D50" t="s">
        <v>366</v>
      </c>
      <c r="E50" s="73"/>
      <c r="AA50" t="s">
        <v>377</v>
      </c>
      <c r="AB50" s="73">
        <v>46189</v>
      </c>
      <c r="AC50" t="s">
        <v>378</v>
      </c>
      <c r="AF50" t="s">
        <v>379</v>
      </c>
      <c r="AI50" t="s">
        <v>380</v>
      </c>
      <c r="AJ50">
        <v>0</v>
      </c>
      <c r="AK50" t="s">
        <v>372</v>
      </c>
      <c r="AP50" t="s">
        <v>374</v>
      </c>
      <c r="AQ50" s="73"/>
      <c r="BR50" s="73"/>
      <c r="CX50" s="73"/>
      <c r="EQ50" s="73"/>
    </row>
    <row r="51" spans="1:209" ht="14.25" customHeight="1" x14ac:dyDescent="0.25">
      <c r="A51" t="s">
        <v>447</v>
      </c>
      <c r="B51" t="s">
        <v>381</v>
      </c>
      <c r="C51">
        <v>1</v>
      </c>
      <c r="D51" t="s">
        <v>366</v>
      </c>
      <c r="E51" s="73"/>
      <c r="AB51" s="73"/>
      <c r="AQ51" s="73">
        <v>46189</v>
      </c>
      <c r="AR51" t="s">
        <v>397</v>
      </c>
      <c r="AU51" t="s">
        <v>384</v>
      </c>
      <c r="AV51" t="s">
        <v>384</v>
      </c>
      <c r="AW51" t="s">
        <v>384</v>
      </c>
      <c r="AX51" t="s">
        <v>383</v>
      </c>
      <c r="AY51" t="s">
        <v>385</v>
      </c>
      <c r="AZ51" t="s">
        <v>385</v>
      </c>
      <c r="BA51" t="s">
        <v>367</v>
      </c>
      <c r="BB51" t="s">
        <v>367</v>
      </c>
      <c r="BC51">
        <v>5</v>
      </c>
      <c r="BD51" t="s">
        <v>374</v>
      </c>
      <c r="BR51" s="73"/>
      <c r="CX51" s="73"/>
      <c r="EQ51" s="73"/>
    </row>
    <row r="52" spans="1:209" ht="14.25" customHeight="1" x14ac:dyDescent="0.25">
      <c r="A52" t="s">
        <v>449</v>
      </c>
      <c r="D52" t="s">
        <v>366</v>
      </c>
      <c r="E52" s="73">
        <v>46189</v>
      </c>
      <c r="F52" t="s">
        <v>367</v>
      </c>
      <c r="H52" t="s">
        <v>403</v>
      </c>
      <c r="I52" t="s">
        <v>403</v>
      </c>
      <c r="J52">
        <v>1983</v>
      </c>
      <c r="K52" t="s">
        <v>369</v>
      </c>
      <c r="L52" t="s">
        <v>370</v>
      </c>
      <c r="M52" t="s">
        <v>371</v>
      </c>
      <c r="N52" t="s">
        <v>371</v>
      </c>
      <c r="O52" t="s">
        <v>371</v>
      </c>
      <c r="P52" t="s">
        <v>371</v>
      </c>
      <c r="Q52" t="s">
        <v>371</v>
      </c>
      <c r="R52" t="s">
        <v>372</v>
      </c>
      <c r="S52" t="s">
        <v>372</v>
      </c>
      <c r="T52" t="s">
        <v>367</v>
      </c>
      <c r="U52" t="s">
        <v>367</v>
      </c>
      <c r="W52" t="s">
        <v>367</v>
      </c>
      <c r="X52" t="s">
        <v>399</v>
      </c>
      <c r="Y52" t="s">
        <v>396</v>
      </c>
      <c r="Z52" t="s">
        <v>374</v>
      </c>
      <c r="AB52" s="73"/>
      <c r="AQ52" s="73"/>
      <c r="BG52" t="s">
        <v>371</v>
      </c>
      <c r="BH52" t="s">
        <v>371</v>
      </c>
      <c r="BI52" t="s">
        <v>371</v>
      </c>
      <c r="BJ52" t="s">
        <v>371</v>
      </c>
      <c r="BK52" t="s">
        <v>371</v>
      </c>
      <c r="BL52" t="s">
        <v>371</v>
      </c>
      <c r="BM52" t="s">
        <v>371</v>
      </c>
      <c r="BN52" t="s">
        <v>371</v>
      </c>
      <c r="BO52" t="s">
        <v>371</v>
      </c>
      <c r="BQ52" t="s">
        <v>375</v>
      </c>
      <c r="BR52" s="73"/>
      <c r="CX52" s="73"/>
      <c r="EQ52" s="73"/>
      <c r="FT52">
        <v>0</v>
      </c>
      <c r="FZ52" t="s">
        <v>371</v>
      </c>
      <c r="GA52" t="s">
        <v>371</v>
      </c>
      <c r="GB52" t="s">
        <v>371</v>
      </c>
      <c r="GC52" t="s">
        <v>371</v>
      </c>
      <c r="GD52" t="s">
        <v>371</v>
      </c>
      <c r="GF52" t="s">
        <v>371</v>
      </c>
      <c r="GG52" t="s">
        <v>371</v>
      </c>
      <c r="GH52" t="s">
        <v>371</v>
      </c>
      <c r="GI52" t="s">
        <v>371</v>
      </c>
      <c r="GJ52" t="s">
        <v>371</v>
      </c>
      <c r="GK52" t="s">
        <v>371</v>
      </c>
      <c r="GN52" t="s">
        <v>371</v>
      </c>
      <c r="GO52" t="s">
        <v>371</v>
      </c>
      <c r="GP52" t="s">
        <v>371</v>
      </c>
      <c r="GQ52" t="s">
        <v>371</v>
      </c>
      <c r="GR52" t="s">
        <v>371</v>
      </c>
      <c r="GS52" t="s">
        <v>371</v>
      </c>
      <c r="GT52" t="s">
        <v>371</v>
      </c>
      <c r="GU52" t="s">
        <v>371</v>
      </c>
      <c r="GV52" t="s">
        <v>371</v>
      </c>
      <c r="GW52" t="s">
        <v>371</v>
      </c>
      <c r="GX52" t="s">
        <v>371</v>
      </c>
      <c r="HA52" t="s">
        <v>375</v>
      </c>
    </row>
    <row r="53" spans="1:209" ht="14.25" customHeight="1" x14ac:dyDescent="0.25">
      <c r="A53" t="s">
        <v>449</v>
      </c>
      <c r="B53" t="s">
        <v>376</v>
      </c>
      <c r="C53">
        <v>1</v>
      </c>
      <c r="D53" t="s">
        <v>366</v>
      </c>
      <c r="E53" s="73"/>
      <c r="AA53" t="s">
        <v>377</v>
      </c>
      <c r="AB53" s="73">
        <v>46189</v>
      </c>
      <c r="AC53" t="s">
        <v>378</v>
      </c>
      <c r="AF53" t="s">
        <v>379</v>
      </c>
      <c r="AI53" t="s">
        <v>380</v>
      </c>
      <c r="AJ53">
        <v>0</v>
      </c>
      <c r="AK53" t="s">
        <v>372</v>
      </c>
      <c r="AP53" t="s">
        <v>374</v>
      </c>
      <c r="AQ53" s="73"/>
      <c r="BR53" s="73"/>
      <c r="CX53" s="73"/>
      <c r="EQ53" s="73"/>
    </row>
    <row r="54" spans="1:209" ht="14.25" customHeight="1" x14ac:dyDescent="0.25">
      <c r="A54" t="s">
        <v>449</v>
      </c>
      <c r="B54" t="s">
        <v>381</v>
      </c>
      <c r="C54">
        <v>1</v>
      </c>
      <c r="D54" t="s">
        <v>366</v>
      </c>
      <c r="E54" s="73"/>
      <c r="AB54" s="73"/>
      <c r="AQ54" s="73">
        <v>46189</v>
      </c>
      <c r="AR54" t="s">
        <v>382</v>
      </c>
      <c r="AU54" t="s">
        <v>385</v>
      </c>
      <c r="AV54" t="s">
        <v>383</v>
      </c>
      <c r="AW54" t="s">
        <v>385</v>
      </c>
      <c r="AX54" t="s">
        <v>385</v>
      </c>
      <c r="AY54" t="s">
        <v>383</v>
      </c>
      <c r="AZ54" t="s">
        <v>383</v>
      </c>
      <c r="BA54" t="s">
        <v>367</v>
      </c>
      <c r="BB54" t="s">
        <v>372</v>
      </c>
      <c r="BC54">
        <v>11</v>
      </c>
      <c r="BD54" t="s">
        <v>374</v>
      </c>
      <c r="BR54" s="73"/>
      <c r="CX54" s="73"/>
      <c r="EQ54" s="73"/>
    </row>
    <row r="55" spans="1:209" ht="14.25" customHeight="1" x14ac:dyDescent="0.25">
      <c r="A55" t="s">
        <v>450</v>
      </c>
      <c r="D55" t="s">
        <v>366</v>
      </c>
      <c r="E55" s="73">
        <v>46190</v>
      </c>
      <c r="F55" t="s">
        <v>367</v>
      </c>
      <c r="H55" t="s">
        <v>403</v>
      </c>
      <c r="I55" t="s">
        <v>403</v>
      </c>
      <c r="J55">
        <v>1978</v>
      </c>
      <c r="K55" t="s">
        <v>369</v>
      </c>
      <c r="L55" t="s">
        <v>370</v>
      </c>
      <c r="M55" t="s">
        <v>371</v>
      </c>
      <c r="N55" t="s">
        <v>371</v>
      </c>
      <c r="O55" t="s">
        <v>371</v>
      </c>
      <c r="P55" t="s">
        <v>371</v>
      </c>
      <c r="Q55" t="s">
        <v>371</v>
      </c>
      <c r="R55" t="s">
        <v>372</v>
      </c>
      <c r="S55" t="s">
        <v>372</v>
      </c>
      <c r="T55" t="s">
        <v>367</v>
      </c>
      <c r="U55" t="s">
        <v>367</v>
      </c>
      <c r="W55" t="s">
        <v>367</v>
      </c>
      <c r="X55" t="s">
        <v>392</v>
      </c>
      <c r="Y55" t="s">
        <v>421</v>
      </c>
      <c r="Z55" t="s">
        <v>374</v>
      </c>
      <c r="AB55" s="73"/>
      <c r="AQ55" s="73"/>
      <c r="BG55" t="s">
        <v>371</v>
      </c>
      <c r="BH55" t="s">
        <v>371</v>
      </c>
      <c r="BI55" t="s">
        <v>371</v>
      </c>
      <c r="BJ55" t="s">
        <v>371</v>
      </c>
      <c r="BK55" t="s">
        <v>371</v>
      </c>
      <c r="BL55" t="s">
        <v>371</v>
      </c>
      <c r="BM55" t="s">
        <v>371</v>
      </c>
      <c r="BN55" t="s">
        <v>371</v>
      </c>
      <c r="BO55" t="s">
        <v>371</v>
      </c>
      <c r="BQ55" t="s">
        <v>375</v>
      </c>
      <c r="BR55" s="73"/>
      <c r="CX55" s="73"/>
      <c r="EQ55" s="73"/>
      <c r="FT55">
        <v>0</v>
      </c>
      <c r="FZ55" t="s">
        <v>371</v>
      </c>
      <c r="GA55" t="s">
        <v>371</v>
      </c>
      <c r="GB55" t="s">
        <v>371</v>
      </c>
      <c r="GC55" t="s">
        <v>371</v>
      </c>
      <c r="GD55" t="s">
        <v>371</v>
      </c>
      <c r="GF55" t="s">
        <v>371</v>
      </c>
      <c r="GG55" t="s">
        <v>371</v>
      </c>
      <c r="GH55" t="s">
        <v>371</v>
      </c>
      <c r="GI55" t="s">
        <v>371</v>
      </c>
      <c r="GJ55" t="s">
        <v>371</v>
      </c>
      <c r="GK55" t="s">
        <v>371</v>
      </c>
      <c r="GN55" t="s">
        <v>371</v>
      </c>
      <c r="GO55" t="s">
        <v>371</v>
      </c>
      <c r="GP55" t="s">
        <v>371</v>
      </c>
      <c r="GQ55" t="s">
        <v>371</v>
      </c>
      <c r="GR55" t="s">
        <v>371</v>
      </c>
      <c r="GS55" t="s">
        <v>371</v>
      </c>
      <c r="GT55" t="s">
        <v>371</v>
      </c>
      <c r="GU55" t="s">
        <v>371</v>
      </c>
      <c r="GV55" t="s">
        <v>371</v>
      </c>
      <c r="GW55" t="s">
        <v>371</v>
      </c>
      <c r="GX55" t="s">
        <v>371</v>
      </c>
      <c r="HA55" t="s">
        <v>375</v>
      </c>
    </row>
    <row r="56" spans="1:209" ht="14.25" customHeight="1" x14ac:dyDescent="0.25">
      <c r="A56" t="s">
        <v>450</v>
      </c>
      <c r="B56" t="s">
        <v>376</v>
      </c>
      <c r="C56">
        <v>1</v>
      </c>
      <c r="D56" t="s">
        <v>366</v>
      </c>
      <c r="E56" s="73"/>
      <c r="AA56" t="s">
        <v>377</v>
      </c>
      <c r="AB56" s="73">
        <v>46190</v>
      </c>
      <c r="AC56" t="s">
        <v>378</v>
      </c>
      <c r="AF56" t="s">
        <v>379</v>
      </c>
      <c r="AI56" t="s">
        <v>380</v>
      </c>
      <c r="AJ56">
        <v>0</v>
      </c>
      <c r="AK56" t="s">
        <v>372</v>
      </c>
      <c r="AP56" t="s">
        <v>374</v>
      </c>
      <c r="AQ56" s="73"/>
      <c r="BR56" s="73"/>
      <c r="CX56" s="73"/>
      <c r="EQ56" s="73"/>
    </row>
    <row r="57" spans="1:209" ht="14.25" customHeight="1" x14ac:dyDescent="0.25">
      <c r="A57" t="s">
        <v>450</v>
      </c>
      <c r="B57" t="s">
        <v>381</v>
      </c>
      <c r="C57">
        <v>1</v>
      </c>
      <c r="D57" t="s">
        <v>366</v>
      </c>
      <c r="E57" s="73"/>
      <c r="AB57" s="73"/>
      <c r="AQ57" s="73">
        <v>46190</v>
      </c>
      <c r="AR57" t="s">
        <v>378</v>
      </c>
      <c r="AU57" t="s">
        <v>384</v>
      </c>
      <c r="AV57" t="s">
        <v>384</v>
      </c>
      <c r="AW57" t="s">
        <v>384</v>
      </c>
      <c r="AX57" t="s">
        <v>383</v>
      </c>
      <c r="AY57" t="s">
        <v>384</v>
      </c>
      <c r="AZ57" t="s">
        <v>383</v>
      </c>
      <c r="BA57" t="s">
        <v>367</v>
      </c>
      <c r="BB57" t="s">
        <v>372</v>
      </c>
      <c r="BC57">
        <v>4</v>
      </c>
      <c r="BD57" t="s">
        <v>374</v>
      </c>
      <c r="BR57" s="73"/>
      <c r="CX57" s="73"/>
      <c r="EQ57" s="73"/>
    </row>
    <row r="58" spans="1:209" ht="14.25" customHeight="1" x14ac:dyDescent="0.25">
      <c r="A58" t="s">
        <v>451</v>
      </c>
      <c r="D58" t="s">
        <v>366</v>
      </c>
      <c r="E58" s="73">
        <v>46190</v>
      </c>
      <c r="F58" t="s">
        <v>367</v>
      </c>
      <c r="H58" t="s">
        <v>368</v>
      </c>
      <c r="I58" t="s">
        <v>368</v>
      </c>
      <c r="J58">
        <v>1987</v>
      </c>
      <c r="K58" t="s">
        <v>369</v>
      </c>
      <c r="L58" t="s">
        <v>370</v>
      </c>
      <c r="M58" t="s">
        <v>371</v>
      </c>
      <c r="N58" t="s">
        <v>371</v>
      </c>
      <c r="O58" t="s">
        <v>371</v>
      </c>
      <c r="P58" t="s">
        <v>371</v>
      </c>
      <c r="Q58" t="s">
        <v>371</v>
      </c>
      <c r="R58" t="s">
        <v>372</v>
      </c>
      <c r="S58" t="s">
        <v>372</v>
      </c>
      <c r="T58" t="s">
        <v>367</v>
      </c>
      <c r="U58" t="s">
        <v>367</v>
      </c>
      <c r="W58" t="s">
        <v>367</v>
      </c>
      <c r="X58" t="s">
        <v>392</v>
      </c>
      <c r="Y58" t="s">
        <v>421</v>
      </c>
      <c r="Z58" t="s">
        <v>374</v>
      </c>
      <c r="AB58" s="73"/>
      <c r="AQ58" s="73"/>
      <c r="BG58" t="s">
        <v>371</v>
      </c>
      <c r="BH58" t="s">
        <v>371</v>
      </c>
      <c r="BI58" t="s">
        <v>371</v>
      </c>
      <c r="BJ58" t="s">
        <v>371</v>
      </c>
      <c r="BK58" t="s">
        <v>371</v>
      </c>
      <c r="BL58" t="s">
        <v>371</v>
      </c>
      <c r="BM58" t="s">
        <v>371</v>
      </c>
      <c r="BN58" t="s">
        <v>371</v>
      </c>
      <c r="BO58" t="s">
        <v>371</v>
      </c>
      <c r="BQ58" t="s">
        <v>375</v>
      </c>
      <c r="BR58" s="73"/>
      <c r="CX58" s="73"/>
      <c r="EQ58" s="73"/>
      <c r="FT58">
        <v>0</v>
      </c>
      <c r="FZ58" t="s">
        <v>371</v>
      </c>
      <c r="GA58" t="s">
        <v>371</v>
      </c>
      <c r="GB58" t="s">
        <v>371</v>
      </c>
      <c r="GC58" t="s">
        <v>371</v>
      </c>
      <c r="GD58" t="s">
        <v>371</v>
      </c>
      <c r="GF58" t="s">
        <v>371</v>
      </c>
      <c r="GG58" t="s">
        <v>371</v>
      </c>
      <c r="GH58" t="s">
        <v>371</v>
      </c>
      <c r="GI58" t="s">
        <v>371</v>
      </c>
      <c r="GJ58" t="s">
        <v>371</v>
      </c>
      <c r="GK58" t="s">
        <v>371</v>
      </c>
      <c r="GN58" t="s">
        <v>371</v>
      </c>
      <c r="GO58" t="s">
        <v>371</v>
      </c>
      <c r="GP58" t="s">
        <v>371</v>
      </c>
      <c r="GQ58" t="s">
        <v>371</v>
      </c>
      <c r="GR58" t="s">
        <v>371</v>
      </c>
      <c r="GS58" t="s">
        <v>371</v>
      </c>
      <c r="GT58" t="s">
        <v>371</v>
      </c>
      <c r="GU58" t="s">
        <v>371</v>
      </c>
      <c r="GV58" t="s">
        <v>371</v>
      </c>
      <c r="GW58" t="s">
        <v>371</v>
      </c>
      <c r="GX58" t="s">
        <v>371</v>
      </c>
      <c r="HA58" t="s">
        <v>375</v>
      </c>
    </row>
    <row r="59" spans="1:209" ht="14.25" customHeight="1" x14ac:dyDescent="0.25">
      <c r="A59" t="s">
        <v>451</v>
      </c>
      <c r="B59" t="s">
        <v>376</v>
      </c>
      <c r="C59">
        <v>1</v>
      </c>
      <c r="D59" t="s">
        <v>366</v>
      </c>
      <c r="E59" s="73"/>
      <c r="AA59" t="s">
        <v>377</v>
      </c>
      <c r="AB59" s="73">
        <v>46190</v>
      </c>
      <c r="AC59" t="s">
        <v>378</v>
      </c>
      <c r="AF59" t="s">
        <v>379</v>
      </c>
      <c r="AI59" t="s">
        <v>452</v>
      </c>
      <c r="AJ59">
        <v>0</v>
      </c>
      <c r="AK59" t="s">
        <v>372</v>
      </c>
      <c r="AP59" t="s">
        <v>374</v>
      </c>
      <c r="AQ59" s="73"/>
      <c r="BR59" s="73"/>
      <c r="CX59" s="73"/>
      <c r="EQ59" s="73"/>
    </row>
    <row r="60" spans="1:209" ht="14.25" customHeight="1" x14ac:dyDescent="0.25">
      <c r="A60" t="s">
        <v>451</v>
      </c>
      <c r="B60" t="s">
        <v>381</v>
      </c>
      <c r="C60">
        <v>1</v>
      </c>
      <c r="D60" t="s">
        <v>366</v>
      </c>
      <c r="E60" s="73"/>
      <c r="AB60" s="73"/>
      <c r="AQ60" s="73">
        <v>46190</v>
      </c>
      <c r="AR60" t="s">
        <v>378</v>
      </c>
      <c r="AU60" t="s">
        <v>383</v>
      </c>
      <c r="AV60" t="s">
        <v>383</v>
      </c>
      <c r="AW60" t="s">
        <v>384</v>
      </c>
      <c r="AX60" t="s">
        <v>383</v>
      </c>
      <c r="AY60" t="s">
        <v>383</v>
      </c>
      <c r="AZ60" t="s">
        <v>383</v>
      </c>
      <c r="BA60" t="s">
        <v>367</v>
      </c>
      <c r="BB60" t="s">
        <v>367</v>
      </c>
      <c r="BC60">
        <v>5</v>
      </c>
      <c r="BD60" t="s">
        <v>374</v>
      </c>
      <c r="BR60" s="73"/>
      <c r="CX60" s="73"/>
      <c r="EQ60" s="73"/>
    </row>
    <row r="61" spans="1:209" ht="14.25" customHeight="1" x14ac:dyDescent="0.25">
      <c r="A61" t="s">
        <v>453</v>
      </c>
      <c r="D61" t="s">
        <v>366</v>
      </c>
      <c r="E61" s="73">
        <v>46190</v>
      </c>
      <c r="F61" t="s">
        <v>372</v>
      </c>
      <c r="G61" t="s">
        <v>454</v>
      </c>
      <c r="H61" t="s">
        <v>403</v>
      </c>
      <c r="I61" t="s">
        <v>403</v>
      </c>
      <c r="J61">
        <v>1987</v>
      </c>
      <c r="K61" t="s">
        <v>391</v>
      </c>
      <c r="L61" t="s">
        <v>370</v>
      </c>
      <c r="M61" t="s">
        <v>371</v>
      </c>
      <c r="N61" t="s">
        <v>371</v>
      </c>
      <c r="O61" t="s">
        <v>371</v>
      </c>
      <c r="P61" t="s">
        <v>371</v>
      </c>
      <c r="Q61" t="s">
        <v>371</v>
      </c>
      <c r="R61" t="s">
        <v>372</v>
      </c>
      <c r="S61" t="s">
        <v>372</v>
      </c>
      <c r="T61" t="s">
        <v>372</v>
      </c>
      <c r="U61" t="s">
        <v>367</v>
      </c>
      <c r="W61" t="s">
        <v>367</v>
      </c>
      <c r="X61" t="s">
        <v>432</v>
      </c>
      <c r="Y61" t="s">
        <v>396</v>
      </c>
      <c r="Z61" t="s">
        <v>374</v>
      </c>
      <c r="AB61" s="73"/>
      <c r="AQ61" s="73"/>
      <c r="BG61" t="s">
        <v>371</v>
      </c>
      <c r="BH61" t="s">
        <v>371</v>
      </c>
      <c r="BI61" t="s">
        <v>371</v>
      </c>
      <c r="BJ61" t="s">
        <v>371</v>
      </c>
      <c r="BK61" t="s">
        <v>371</v>
      </c>
      <c r="BL61" t="s">
        <v>371</v>
      </c>
      <c r="BM61" t="s">
        <v>371</v>
      </c>
      <c r="BN61" t="s">
        <v>371</v>
      </c>
      <c r="BO61" t="s">
        <v>371</v>
      </c>
      <c r="BQ61" t="s">
        <v>375</v>
      </c>
      <c r="BR61" s="73"/>
      <c r="CX61" s="73"/>
      <c r="EQ61" s="73"/>
      <c r="FT61">
        <v>0</v>
      </c>
      <c r="FZ61" t="s">
        <v>371</v>
      </c>
      <c r="GA61" t="s">
        <v>371</v>
      </c>
      <c r="GB61" t="s">
        <v>371</v>
      </c>
      <c r="GC61" t="s">
        <v>371</v>
      </c>
      <c r="GD61" t="s">
        <v>371</v>
      </c>
      <c r="GF61" t="s">
        <v>371</v>
      </c>
      <c r="GG61" t="s">
        <v>371</v>
      </c>
      <c r="GH61" t="s">
        <v>371</v>
      </c>
      <c r="GI61" t="s">
        <v>371</v>
      </c>
      <c r="GJ61" t="s">
        <v>371</v>
      </c>
      <c r="GK61" t="s">
        <v>371</v>
      </c>
      <c r="GN61" t="s">
        <v>371</v>
      </c>
      <c r="GO61" t="s">
        <v>371</v>
      </c>
      <c r="GP61" t="s">
        <v>371</v>
      </c>
      <c r="GQ61" t="s">
        <v>371</v>
      </c>
      <c r="GR61" t="s">
        <v>371</v>
      </c>
      <c r="GS61" t="s">
        <v>371</v>
      </c>
      <c r="GT61" t="s">
        <v>371</v>
      </c>
      <c r="GU61" t="s">
        <v>371</v>
      </c>
      <c r="GV61" t="s">
        <v>371</v>
      </c>
      <c r="GW61" t="s">
        <v>371</v>
      </c>
      <c r="GX61" t="s">
        <v>371</v>
      </c>
      <c r="HA61" t="s">
        <v>375</v>
      </c>
    </row>
    <row r="62" spans="1:209" ht="14.25" customHeight="1" x14ac:dyDescent="0.25">
      <c r="A62" t="s">
        <v>453</v>
      </c>
      <c r="B62" t="s">
        <v>376</v>
      </c>
      <c r="C62">
        <v>1</v>
      </c>
      <c r="D62" t="s">
        <v>366</v>
      </c>
      <c r="E62" s="73"/>
      <c r="AA62" t="s">
        <v>377</v>
      </c>
      <c r="AB62" s="73">
        <v>46190</v>
      </c>
      <c r="AC62" t="s">
        <v>378</v>
      </c>
      <c r="AF62" t="s">
        <v>379</v>
      </c>
      <c r="AI62" t="s">
        <v>380</v>
      </c>
      <c r="AJ62">
        <v>0</v>
      </c>
      <c r="AK62" t="s">
        <v>372</v>
      </c>
      <c r="AP62" t="s">
        <v>374</v>
      </c>
      <c r="AQ62" s="73"/>
      <c r="BR62" s="73"/>
      <c r="CX62" s="73"/>
      <c r="EQ62" s="73"/>
    </row>
    <row r="63" spans="1:209" ht="14.25" customHeight="1" x14ac:dyDescent="0.25">
      <c r="A63" t="s">
        <v>453</v>
      </c>
      <c r="B63" t="s">
        <v>381</v>
      </c>
      <c r="C63">
        <v>1</v>
      </c>
      <c r="D63" t="s">
        <v>366</v>
      </c>
      <c r="E63" s="73"/>
      <c r="AB63" s="73"/>
      <c r="AQ63" s="73">
        <v>46190</v>
      </c>
      <c r="AR63" t="s">
        <v>434</v>
      </c>
      <c r="AU63" t="s">
        <v>384</v>
      </c>
      <c r="AV63" t="s">
        <v>384</v>
      </c>
      <c r="AW63" t="s">
        <v>384</v>
      </c>
      <c r="AX63" t="s">
        <v>383</v>
      </c>
      <c r="AY63" t="s">
        <v>384</v>
      </c>
      <c r="AZ63" t="s">
        <v>384</v>
      </c>
      <c r="BA63" t="s">
        <v>367</v>
      </c>
      <c r="BB63" t="s">
        <v>367</v>
      </c>
      <c r="BC63">
        <v>1</v>
      </c>
      <c r="BD63" t="s">
        <v>374</v>
      </c>
      <c r="BR63" s="73"/>
      <c r="CX63" s="73"/>
      <c r="EQ63" s="73"/>
    </row>
    <row r="64" spans="1:209" ht="14.25" customHeight="1" x14ac:dyDescent="0.25">
      <c r="A64" t="s">
        <v>455</v>
      </c>
      <c r="D64" t="s">
        <v>366</v>
      </c>
      <c r="E64" s="73">
        <v>46190</v>
      </c>
      <c r="F64" t="s">
        <v>367</v>
      </c>
      <c r="H64" t="s">
        <v>368</v>
      </c>
      <c r="I64" t="s">
        <v>368</v>
      </c>
      <c r="J64">
        <v>1984</v>
      </c>
      <c r="K64" t="s">
        <v>391</v>
      </c>
      <c r="L64" t="s">
        <v>370</v>
      </c>
      <c r="M64" t="s">
        <v>371</v>
      </c>
      <c r="N64" t="s">
        <v>371</v>
      </c>
      <c r="O64" t="s">
        <v>371</v>
      </c>
      <c r="P64" t="s">
        <v>371</v>
      </c>
      <c r="Q64" t="s">
        <v>371</v>
      </c>
      <c r="R64" t="s">
        <v>372</v>
      </c>
      <c r="S64" t="s">
        <v>372</v>
      </c>
      <c r="T64" t="s">
        <v>372</v>
      </c>
      <c r="U64" t="s">
        <v>367</v>
      </c>
      <c r="W64" t="s">
        <v>367</v>
      </c>
      <c r="X64" t="s">
        <v>432</v>
      </c>
      <c r="Y64" t="s">
        <v>396</v>
      </c>
      <c r="Z64" t="s">
        <v>374</v>
      </c>
      <c r="AB64" s="73"/>
      <c r="AQ64" s="73"/>
      <c r="BG64" t="s">
        <v>371</v>
      </c>
      <c r="BH64" t="s">
        <v>371</v>
      </c>
      <c r="BI64" t="s">
        <v>371</v>
      </c>
      <c r="BJ64" t="s">
        <v>371</v>
      </c>
      <c r="BK64" t="s">
        <v>371</v>
      </c>
      <c r="BL64" t="s">
        <v>371</v>
      </c>
      <c r="BM64" t="s">
        <v>371</v>
      </c>
      <c r="BN64" t="s">
        <v>371</v>
      </c>
      <c r="BO64" t="s">
        <v>371</v>
      </c>
      <c r="BQ64" t="s">
        <v>375</v>
      </c>
      <c r="BR64" s="73"/>
      <c r="CX64" s="73"/>
      <c r="EQ64" s="73"/>
      <c r="FT64">
        <v>0</v>
      </c>
      <c r="FZ64" t="s">
        <v>371</v>
      </c>
      <c r="GA64" t="s">
        <v>371</v>
      </c>
      <c r="GB64" t="s">
        <v>371</v>
      </c>
      <c r="GC64" t="s">
        <v>371</v>
      </c>
      <c r="GD64" t="s">
        <v>371</v>
      </c>
      <c r="GF64" t="s">
        <v>371</v>
      </c>
      <c r="GG64" t="s">
        <v>371</v>
      </c>
      <c r="GH64" t="s">
        <v>371</v>
      </c>
      <c r="GI64" t="s">
        <v>371</v>
      </c>
      <c r="GJ64" t="s">
        <v>371</v>
      </c>
      <c r="GK64" t="s">
        <v>371</v>
      </c>
      <c r="GN64" t="s">
        <v>371</v>
      </c>
      <c r="GO64" t="s">
        <v>371</v>
      </c>
      <c r="GP64" t="s">
        <v>371</v>
      </c>
      <c r="GQ64" t="s">
        <v>371</v>
      </c>
      <c r="GR64" t="s">
        <v>371</v>
      </c>
      <c r="GS64" t="s">
        <v>371</v>
      </c>
      <c r="GT64" t="s">
        <v>371</v>
      </c>
      <c r="GU64" t="s">
        <v>371</v>
      </c>
      <c r="GV64" t="s">
        <v>371</v>
      </c>
      <c r="GW64" t="s">
        <v>371</v>
      </c>
      <c r="GX64" t="s">
        <v>371</v>
      </c>
      <c r="HA64" t="s">
        <v>375</v>
      </c>
    </row>
    <row r="65" spans="1:209" ht="14.25" customHeight="1" x14ac:dyDescent="0.25">
      <c r="A65" t="s">
        <v>455</v>
      </c>
      <c r="B65" t="s">
        <v>376</v>
      </c>
      <c r="C65">
        <v>1</v>
      </c>
      <c r="D65" t="s">
        <v>366</v>
      </c>
      <c r="E65" s="73"/>
      <c r="AA65" t="s">
        <v>377</v>
      </c>
      <c r="AB65" s="73">
        <v>46190</v>
      </c>
      <c r="AC65" t="s">
        <v>378</v>
      </c>
      <c r="AF65" t="s">
        <v>379</v>
      </c>
      <c r="AI65" t="s">
        <v>380</v>
      </c>
      <c r="AJ65">
        <v>0</v>
      </c>
      <c r="AK65" t="s">
        <v>372</v>
      </c>
      <c r="AP65" t="s">
        <v>374</v>
      </c>
      <c r="AQ65" s="73"/>
      <c r="BR65" s="73"/>
      <c r="CX65" s="73"/>
      <c r="EQ65" s="73"/>
    </row>
    <row r="66" spans="1:209" ht="14.25" customHeight="1" x14ac:dyDescent="0.25">
      <c r="A66" t="s">
        <v>455</v>
      </c>
      <c r="B66" t="s">
        <v>381</v>
      </c>
      <c r="C66">
        <v>1</v>
      </c>
      <c r="D66" t="s">
        <v>366</v>
      </c>
      <c r="E66" s="73"/>
      <c r="AB66" s="73"/>
      <c r="AQ66" s="73">
        <v>46190</v>
      </c>
      <c r="AR66" t="s">
        <v>397</v>
      </c>
      <c r="AU66" t="s">
        <v>384</v>
      </c>
      <c r="AV66" t="s">
        <v>383</v>
      </c>
      <c r="AW66" t="s">
        <v>383</v>
      </c>
      <c r="AX66" t="s">
        <v>383</v>
      </c>
      <c r="AY66" t="s">
        <v>384</v>
      </c>
      <c r="AZ66" t="s">
        <v>384</v>
      </c>
      <c r="BA66" t="s">
        <v>367</v>
      </c>
      <c r="BB66" t="s">
        <v>367</v>
      </c>
      <c r="BC66">
        <v>3</v>
      </c>
      <c r="BD66" t="s">
        <v>374</v>
      </c>
      <c r="BR66" s="73"/>
      <c r="CX66" s="73"/>
      <c r="EQ66" s="73"/>
    </row>
    <row r="67" spans="1:209" ht="14.25" customHeight="1" x14ac:dyDescent="0.25">
      <c r="A67" t="s">
        <v>456</v>
      </c>
      <c r="D67" t="s">
        <v>366</v>
      </c>
      <c r="E67" s="73">
        <v>46190</v>
      </c>
      <c r="F67" t="s">
        <v>367</v>
      </c>
      <c r="H67" t="s">
        <v>368</v>
      </c>
      <c r="I67" t="s">
        <v>368</v>
      </c>
      <c r="J67">
        <v>1986</v>
      </c>
      <c r="K67" t="s">
        <v>369</v>
      </c>
      <c r="L67" t="s">
        <v>370</v>
      </c>
      <c r="M67" t="s">
        <v>371</v>
      </c>
      <c r="N67" t="s">
        <v>371</v>
      </c>
      <c r="O67" t="s">
        <v>371</v>
      </c>
      <c r="P67" t="s">
        <v>371</v>
      </c>
      <c r="Q67" t="s">
        <v>371</v>
      </c>
      <c r="R67" t="s">
        <v>372</v>
      </c>
      <c r="S67" t="s">
        <v>372</v>
      </c>
      <c r="T67" t="s">
        <v>367</v>
      </c>
      <c r="U67" t="s">
        <v>367</v>
      </c>
      <c r="W67" t="s">
        <v>367</v>
      </c>
      <c r="X67" t="s">
        <v>373</v>
      </c>
      <c r="Y67" t="s">
        <v>367</v>
      </c>
      <c r="Z67" t="s">
        <v>374</v>
      </c>
      <c r="AB67" s="73"/>
      <c r="AQ67" s="73"/>
      <c r="BG67" t="s">
        <v>371</v>
      </c>
      <c r="BH67" t="s">
        <v>371</v>
      </c>
      <c r="BI67" t="s">
        <v>371</v>
      </c>
      <c r="BJ67" t="s">
        <v>371</v>
      </c>
      <c r="BK67" t="s">
        <v>371</v>
      </c>
      <c r="BL67" t="s">
        <v>371</v>
      </c>
      <c r="BM67" t="s">
        <v>371</v>
      </c>
      <c r="BN67" t="s">
        <v>371</v>
      </c>
      <c r="BO67" t="s">
        <v>371</v>
      </c>
      <c r="BQ67" t="s">
        <v>375</v>
      </c>
      <c r="BR67" s="73"/>
      <c r="CX67" s="73"/>
      <c r="EQ67" s="73"/>
      <c r="FT67">
        <v>0</v>
      </c>
      <c r="FZ67" t="s">
        <v>371</v>
      </c>
      <c r="GA67" t="s">
        <v>371</v>
      </c>
      <c r="GB67" t="s">
        <v>371</v>
      </c>
      <c r="GC67" t="s">
        <v>371</v>
      </c>
      <c r="GD67" t="s">
        <v>371</v>
      </c>
      <c r="GF67" t="s">
        <v>371</v>
      </c>
      <c r="GG67" t="s">
        <v>371</v>
      </c>
      <c r="GH67" t="s">
        <v>371</v>
      </c>
      <c r="GI67" t="s">
        <v>371</v>
      </c>
      <c r="GJ67" t="s">
        <v>371</v>
      </c>
      <c r="GK67" t="s">
        <v>371</v>
      </c>
      <c r="GN67" t="s">
        <v>371</v>
      </c>
      <c r="GO67" t="s">
        <v>371</v>
      </c>
      <c r="GP67" t="s">
        <v>371</v>
      </c>
      <c r="GQ67" t="s">
        <v>371</v>
      </c>
      <c r="GR67" t="s">
        <v>371</v>
      </c>
      <c r="GS67" t="s">
        <v>371</v>
      </c>
      <c r="GT67" t="s">
        <v>371</v>
      </c>
      <c r="GU67" t="s">
        <v>371</v>
      </c>
      <c r="GV67" t="s">
        <v>371</v>
      </c>
      <c r="GW67" t="s">
        <v>371</v>
      </c>
      <c r="GX67" t="s">
        <v>371</v>
      </c>
      <c r="HA67" t="s">
        <v>375</v>
      </c>
    </row>
    <row r="68" spans="1:209" ht="14.25" customHeight="1" x14ac:dyDescent="0.25">
      <c r="A68" t="s">
        <v>456</v>
      </c>
      <c r="B68" t="s">
        <v>376</v>
      </c>
      <c r="C68">
        <v>1</v>
      </c>
      <c r="D68" t="s">
        <v>366</v>
      </c>
      <c r="E68" s="73"/>
      <c r="AA68" t="s">
        <v>377</v>
      </c>
      <c r="AB68" s="73">
        <v>46190</v>
      </c>
      <c r="AC68" t="s">
        <v>378</v>
      </c>
      <c r="AF68" t="s">
        <v>379</v>
      </c>
      <c r="AI68" t="s">
        <v>380</v>
      </c>
      <c r="AJ68">
        <v>0</v>
      </c>
      <c r="AK68" t="s">
        <v>372</v>
      </c>
      <c r="AP68" t="s">
        <v>374</v>
      </c>
      <c r="AQ68" s="73"/>
      <c r="BR68" s="73"/>
      <c r="CX68" s="73"/>
      <c r="EQ68" s="73"/>
    </row>
    <row r="69" spans="1:209" ht="14.25" customHeight="1" x14ac:dyDescent="0.25">
      <c r="A69" t="s">
        <v>456</v>
      </c>
      <c r="B69" t="s">
        <v>381</v>
      </c>
      <c r="C69">
        <v>1</v>
      </c>
      <c r="D69" t="s">
        <v>366</v>
      </c>
      <c r="E69" s="73"/>
      <c r="AB69" s="73"/>
      <c r="AQ69" s="73">
        <v>46190</v>
      </c>
      <c r="AR69" t="s">
        <v>382</v>
      </c>
      <c r="AU69" t="s">
        <v>384</v>
      </c>
      <c r="AV69" t="s">
        <v>384</v>
      </c>
      <c r="AW69" t="s">
        <v>384</v>
      </c>
      <c r="AX69" t="s">
        <v>383</v>
      </c>
      <c r="AY69" t="s">
        <v>383</v>
      </c>
      <c r="AZ69" t="s">
        <v>404</v>
      </c>
      <c r="BA69" t="s">
        <v>367</v>
      </c>
      <c r="BB69" t="s">
        <v>367</v>
      </c>
      <c r="BC69">
        <v>5</v>
      </c>
      <c r="BD69" t="s">
        <v>374</v>
      </c>
      <c r="BR69" s="73"/>
      <c r="CX69" s="73"/>
      <c r="EQ69" s="73"/>
    </row>
    <row r="70" spans="1:209" ht="14.25" customHeight="1" x14ac:dyDescent="0.25">
      <c r="A70" t="s">
        <v>457</v>
      </c>
      <c r="D70" t="s">
        <v>366</v>
      </c>
      <c r="E70" s="73">
        <v>46190</v>
      </c>
      <c r="F70" t="s">
        <v>367</v>
      </c>
      <c r="H70" t="s">
        <v>368</v>
      </c>
      <c r="I70" t="s">
        <v>368</v>
      </c>
      <c r="J70">
        <v>2000</v>
      </c>
      <c r="K70" t="s">
        <v>369</v>
      </c>
      <c r="L70" t="s">
        <v>370</v>
      </c>
      <c r="M70" t="s">
        <v>371</v>
      </c>
      <c r="N70" t="s">
        <v>371</v>
      </c>
      <c r="O70" t="s">
        <v>371</v>
      </c>
      <c r="P70" t="s">
        <v>371</v>
      </c>
      <c r="Q70" t="s">
        <v>371</v>
      </c>
      <c r="R70" t="s">
        <v>372</v>
      </c>
      <c r="S70" t="s">
        <v>372</v>
      </c>
      <c r="T70" t="s">
        <v>367</v>
      </c>
      <c r="U70" t="s">
        <v>372</v>
      </c>
      <c r="V70" t="s">
        <v>367</v>
      </c>
      <c r="W70" t="s">
        <v>372</v>
      </c>
      <c r="X70" t="s">
        <v>373</v>
      </c>
      <c r="Y70" t="s">
        <v>367</v>
      </c>
      <c r="Z70" t="s">
        <v>374</v>
      </c>
      <c r="AB70" s="73"/>
      <c r="AQ70" s="73"/>
      <c r="BG70" t="s">
        <v>371</v>
      </c>
      <c r="BH70" t="s">
        <v>371</v>
      </c>
      <c r="BI70" t="s">
        <v>371</v>
      </c>
      <c r="BJ70" t="s">
        <v>371</v>
      </c>
      <c r="BK70" t="s">
        <v>371</v>
      </c>
      <c r="BL70" t="s">
        <v>371</v>
      </c>
      <c r="BM70" t="s">
        <v>371</v>
      </c>
      <c r="BN70" t="s">
        <v>371</v>
      </c>
      <c r="BO70" t="s">
        <v>371</v>
      </c>
      <c r="BQ70" t="s">
        <v>375</v>
      </c>
      <c r="BR70" s="73"/>
      <c r="CX70" s="73"/>
      <c r="EQ70" s="73"/>
      <c r="FT70">
        <v>0</v>
      </c>
      <c r="FZ70" t="s">
        <v>371</v>
      </c>
      <c r="GA70" t="s">
        <v>371</v>
      </c>
      <c r="GB70" t="s">
        <v>371</v>
      </c>
      <c r="GC70" t="s">
        <v>371</v>
      </c>
      <c r="GD70" t="s">
        <v>371</v>
      </c>
      <c r="GF70" t="s">
        <v>371</v>
      </c>
      <c r="GG70" t="s">
        <v>371</v>
      </c>
      <c r="GH70" t="s">
        <v>371</v>
      </c>
      <c r="GI70" t="s">
        <v>371</v>
      </c>
      <c r="GJ70" t="s">
        <v>371</v>
      </c>
      <c r="GK70" t="s">
        <v>371</v>
      </c>
      <c r="GN70" t="s">
        <v>371</v>
      </c>
      <c r="GO70" t="s">
        <v>371</v>
      </c>
      <c r="GP70" t="s">
        <v>371</v>
      </c>
      <c r="GQ70" t="s">
        <v>371</v>
      </c>
      <c r="GR70" t="s">
        <v>371</v>
      </c>
      <c r="GS70" t="s">
        <v>371</v>
      </c>
      <c r="GT70" t="s">
        <v>371</v>
      </c>
      <c r="GU70" t="s">
        <v>371</v>
      </c>
      <c r="GV70" t="s">
        <v>371</v>
      </c>
      <c r="GW70" t="s">
        <v>371</v>
      </c>
      <c r="GX70" t="s">
        <v>371</v>
      </c>
      <c r="HA70" t="s">
        <v>375</v>
      </c>
    </row>
    <row r="71" spans="1:209" ht="14.25" customHeight="1" x14ac:dyDescent="0.25">
      <c r="A71" t="s">
        <v>457</v>
      </c>
      <c r="B71" t="s">
        <v>376</v>
      </c>
      <c r="C71">
        <v>1</v>
      </c>
      <c r="D71" t="s">
        <v>366</v>
      </c>
      <c r="E71" s="73"/>
      <c r="AA71" t="s">
        <v>377</v>
      </c>
      <c r="AB71" s="73">
        <v>46190</v>
      </c>
      <c r="AC71" t="s">
        <v>378</v>
      </c>
      <c r="AF71" t="s">
        <v>379</v>
      </c>
      <c r="AI71" t="s">
        <v>380</v>
      </c>
      <c r="AJ71">
        <v>0</v>
      </c>
      <c r="AK71" t="s">
        <v>372</v>
      </c>
      <c r="AP71" t="s">
        <v>374</v>
      </c>
      <c r="AQ71" s="73"/>
      <c r="BR71" s="73"/>
      <c r="CX71" s="73"/>
      <c r="EQ71" s="73"/>
    </row>
    <row r="72" spans="1:209" ht="14.25" customHeight="1" x14ac:dyDescent="0.25">
      <c r="A72" t="s">
        <v>457</v>
      </c>
      <c r="B72" t="s">
        <v>381</v>
      </c>
      <c r="C72">
        <v>1</v>
      </c>
      <c r="D72" t="s">
        <v>366</v>
      </c>
      <c r="E72" s="73"/>
      <c r="AB72" s="73"/>
      <c r="AQ72" s="73">
        <v>46190</v>
      </c>
      <c r="AR72" t="s">
        <v>397</v>
      </c>
      <c r="AU72" t="s">
        <v>384</v>
      </c>
      <c r="AV72" t="s">
        <v>383</v>
      </c>
      <c r="AW72" t="s">
        <v>384</v>
      </c>
      <c r="AX72" t="s">
        <v>404</v>
      </c>
      <c r="AY72" t="s">
        <v>384</v>
      </c>
      <c r="AZ72" t="s">
        <v>383</v>
      </c>
      <c r="BA72" t="s">
        <v>372</v>
      </c>
      <c r="BB72" t="s">
        <v>367</v>
      </c>
      <c r="BC72">
        <v>7</v>
      </c>
      <c r="BD72" t="s">
        <v>374</v>
      </c>
      <c r="BR72" s="73"/>
      <c r="CX72" s="73"/>
      <c r="EQ72" s="73"/>
    </row>
    <row r="73" spans="1:209" ht="14.25" customHeight="1" x14ac:dyDescent="0.25">
      <c r="A73" t="s">
        <v>458</v>
      </c>
      <c r="D73" t="s">
        <v>366</v>
      </c>
      <c r="E73" s="73">
        <v>46190</v>
      </c>
      <c r="F73" t="s">
        <v>367</v>
      </c>
      <c r="H73" t="s">
        <v>368</v>
      </c>
      <c r="I73" t="s">
        <v>368</v>
      </c>
      <c r="J73">
        <v>1995</v>
      </c>
      <c r="K73" t="s">
        <v>369</v>
      </c>
      <c r="L73" t="s">
        <v>370</v>
      </c>
      <c r="M73" t="s">
        <v>371</v>
      </c>
      <c r="N73" t="s">
        <v>371</v>
      </c>
      <c r="O73" t="s">
        <v>371</v>
      </c>
      <c r="P73" t="s">
        <v>371</v>
      </c>
      <c r="Q73" t="s">
        <v>371</v>
      </c>
      <c r="R73" t="s">
        <v>372</v>
      </c>
      <c r="S73" t="s">
        <v>372</v>
      </c>
      <c r="T73" t="s">
        <v>372</v>
      </c>
      <c r="U73" t="s">
        <v>367</v>
      </c>
      <c r="W73" t="s">
        <v>367</v>
      </c>
      <c r="X73" t="s">
        <v>373</v>
      </c>
      <c r="Y73" t="s">
        <v>367</v>
      </c>
      <c r="Z73" t="s">
        <v>374</v>
      </c>
      <c r="AB73" s="73"/>
      <c r="AQ73" s="73"/>
      <c r="BG73" t="s">
        <v>371</v>
      </c>
      <c r="BH73" t="s">
        <v>371</v>
      </c>
      <c r="BI73" t="s">
        <v>371</v>
      </c>
      <c r="BJ73" t="s">
        <v>371</v>
      </c>
      <c r="BK73" t="s">
        <v>371</v>
      </c>
      <c r="BL73" t="s">
        <v>371</v>
      </c>
      <c r="BM73" t="s">
        <v>371</v>
      </c>
      <c r="BN73" t="s">
        <v>371</v>
      </c>
      <c r="BO73" t="s">
        <v>371</v>
      </c>
      <c r="BQ73" t="s">
        <v>375</v>
      </c>
      <c r="BR73" s="73"/>
      <c r="CX73" s="73"/>
      <c r="EQ73" s="73"/>
      <c r="FT73">
        <v>0</v>
      </c>
      <c r="FZ73" t="s">
        <v>371</v>
      </c>
      <c r="GA73" t="s">
        <v>371</v>
      </c>
      <c r="GB73" t="s">
        <v>371</v>
      </c>
      <c r="GC73" t="s">
        <v>371</v>
      </c>
      <c r="GD73" t="s">
        <v>371</v>
      </c>
      <c r="GF73" t="s">
        <v>371</v>
      </c>
      <c r="GG73" t="s">
        <v>371</v>
      </c>
      <c r="GH73" t="s">
        <v>371</v>
      </c>
      <c r="GI73" t="s">
        <v>371</v>
      </c>
      <c r="GJ73" t="s">
        <v>371</v>
      </c>
      <c r="GK73" t="s">
        <v>371</v>
      </c>
      <c r="GN73" t="s">
        <v>371</v>
      </c>
      <c r="GO73" t="s">
        <v>371</v>
      </c>
      <c r="GP73" t="s">
        <v>371</v>
      </c>
      <c r="GQ73" t="s">
        <v>371</v>
      </c>
      <c r="GR73" t="s">
        <v>371</v>
      </c>
      <c r="GS73" t="s">
        <v>371</v>
      </c>
      <c r="GT73" t="s">
        <v>371</v>
      </c>
      <c r="GU73" t="s">
        <v>371</v>
      </c>
      <c r="GV73" t="s">
        <v>371</v>
      </c>
      <c r="GW73" t="s">
        <v>371</v>
      </c>
      <c r="GX73" t="s">
        <v>371</v>
      </c>
      <c r="HA73" t="s">
        <v>375</v>
      </c>
    </row>
    <row r="74" spans="1:209" ht="14.25" customHeight="1" x14ac:dyDescent="0.25">
      <c r="A74" t="s">
        <v>458</v>
      </c>
      <c r="B74" t="s">
        <v>376</v>
      </c>
      <c r="C74">
        <v>1</v>
      </c>
      <c r="D74" t="s">
        <v>366</v>
      </c>
      <c r="E74" s="73"/>
      <c r="AA74" t="s">
        <v>377</v>
      </c>
      <c r="AB74" s="73">
        <v>46190</v>
      </c>
      <c r="AC74" t="s">
        <v>378</v>
      </c>
      <c r="AF74" t="s">
        <v>379</v>
      </c>
      <c r="AI74" t="s">
        <v>380</v>
      </c>
      <c r="AJ74">
        <v>0</v>
      </c>
      <c r="AK74" t="s">
        <v>372</v>
      </c>
      <c r="AP74" t="s">
        <v>374</v>
      </c>
      <c r="AQ74" s="73"/>
      <c r="BR74" s="73"/>
      <c r="CX74" s="73"/>
      <c r="EQ74" s="73"/>
    </row>
    <row r="75" spans="1:209" ht="14.25" customHeight="1" x14ac:dyDescent="0.25">
      <c r="A75" t="s">
        <v>458</v>
      </c>
      <c r="B75" t="s">
        <v>381</v>
      </c>
      <c r="C75">
        <v>1</v>
      </c>
      <c r="D75" t="s">
        <v>366</v>
      </c>
      <c r="E75" s="73"/>
      <c r="AB75" s="73"/>
      <c r="AQ75" s="73">
        <v>46190</v>
      </c>
      <c r="AR75" t="s">
        <v>397</v>
      </c>
      <c r="AU75" t="s">
        <v>384</v>
      </c>
      <c r="AV75" t="s">
        <v>383</v>
      </c>
      <c r="AW75" t="s">
        <v>383</v>
      </c>
      <c r="AX75" t="s">
        <v>404</v>
      </c>
      <c r="AY75" t="s">
        <v>383</v>
      </c>
      <c r="AZ75" t="s">
        <v>383</v>
      </c>
      <c r="BA75" t="s">
        <v>367</v>
      </c>
      <c r="BB75" t="s">
        <v>372</v>
      </c>
      <c r="BC75">
        <v>9</v>
      </c>
      <c r="BD75" t="s">
        <v>374</v>
      </c>
      <c r="BR75" s="73"/>
      <c r="CX75" s="73"/>
      <c r="EQ75" s="73"/>
    </row>
    <row r="76" spans="1:209" ht="14.25" customHeight="1" x14ac:dyDescent="0.25">
      <c r="A76" t="s">
        <v>459</v>
      </c>
      <c r="D76" t="s">
        <v>366</v>
      </c>
      <c r="E76" s="73">
        <v>46190</v>
      </c>
      <c r="F76" t="s">
        <v>367</v>
      </c>
      <c r="H76" t="s">
        <v>368</v>
      </c>
      <c r="I76" t="s">
        <v>368</v>
      </c>
      <c r="J76">
        <v>1976</v>
      </c>
      <c r="K76" t="s">
        <v>369</v>
      </c>
      <c r="L76" t="s">
        <v>370</v>
      </c>
      <c r="M76" t="s">
        <v>371</v>
      </c>
      <c r="N76" t="s">
        <v>371</v>
      </c>
      <c r="O76" t="s">
        <v>371</v>
      </c>
      <c r="P76" t="s">
        <v>371</v>
      </c>
      <c r="Q76" t="s">
        <v>371</v>
      </c>
      <c r="R76" t="s">
        <v>372</v>
      </c>
      <c r="S76" t="s">
        <v>372</v>
      </c>
      <c r="T76" t="s">
        <v>367</v>
      </c>
      <c r="U76" t="s">
        <v>372</v>
      </c>
      <c r="V76" t="s">
        <v>372</v>
      </c>
      <c r="W76" t="s">
        <v>367</v>
      </c>
      <c r="X76" t="s">
        <v>373</v>
      </c>
      <c r="Y76" t="s">
        <v>367</v>
      </c>
      <c r="Z76" t="s">
        <v>374</v>
      </c>
      <c r="AB76" s="73"/>
      <c r="AQ76" s="73"/>
      <c r="BG76" t="s">
        <v>371</v>
      </c>
      <c r="BH76" t="s">
        <v>371</v>
      </c>
      <c r="BI76" t="s">
        <v>371</v>
      </c>
      <c r="BJ76" t="s">
        <v>371</v>
      </c>
      <c r="BK76" t="s">
        <v>371</v>
      </c>
      <c r="BL76" t="s">
        <v>371</v>
      </c>
      <c r="BM76" t="s">
        <v>371</v>
      </c>
      <c r="BN76" t="s">
        <v>371</v>
      </c>
      <c r="BO76" t="s">
        <v>371</v>
      </c>
      <c r="BQ76" t="s">
        <v>375</v>
      </c>
      <c r="BR76" s="73"/>
      <c r="CX76" s="73"/>
      <c r="EQ76" s="73"/>
      <c r="FT76">
        <v>0</v>
      </c>
      <c r="FZ76" t="s">
        <v>371</v>
      </c>
      <c r="GA76" t="s">
        <v>371</v>
      </c>
      <c r="GB76" t="s">
        <v>371</v>
      </c>
      <c r="GC76" t="s">
        <v>371</v>
      </c>
      <c r="GD76" t="s">
        <v>371</v>
      </c>
      <c r="GF76" t="s">
        <v>371</v>
      </c>
      <c r="GG76" t="s">
        <v>371</v>
      </c>
      <c r="GH76" t="s">
        <v>371</v>
      </c>
      <c r="GI76" t="s">
        <v>371</v>
      </c>
      <c r="GJ76" t="s">
        <v>371</v>
      </c>
      <c r="GK76" t="s">
        <v>371</v>
      </c>
      <c r="GN76" t="s">
        <v>371</v>
      </c>
      <c r="GO76" t="s">
        <v>371</v>
      </c>
      <c r="GP76" t="s">
        <v>371</v>
      </c>
      <c r="GQ76" t="s">
        <v>371</v>
      </c>
      <c r="GR76" t="s">
        <v>371</v>
      </c>
      <c r="GS76" t="s">
        <v>371</v>
      </c>
      <c r="GT76" t="s">
        <v>371</v>
      </c>
      <c r="GU76" t="s">
        <v>371</v>
      </c>
      <c r="GV76" t="s">
        <v>371</v>
      </c>
      <c r="GW76" t="s">
        <v>371</v>
      </c>
      <c r="GX76" t="s">
        <v>371</v>
      </c>
      <c r="HA76" t="s">
        <v>375</v>
      </c>
    </row>
    <row r="77" spans="1:209" ht="14.25" customHeight="1" x14ac:dyDescent="0.25">
      <c r="A77" t="s">
        <v>459</v>
      </c>
      <c r="B77" t="s">
        <v>376</v>
      </c>
      <c r="C77">
        <v>1</v>
      </c>
      <c r="D77" t="s">
        <v>366</v>
      </c>
      <c r="E77" s="73"/>
      <c r="AA77" t="s">
        <v>377</v>
      </c>
      <c r="AB77" s="73">
        <v>46190</v>
      </c>
      <c r="AC77" t="s">
        <v>378</v>
      </c>
      <c r="AF77" t="s">
        <v>379</v>
      </c>
      <c r="AI77" t="s">
        <v>380</v>
      </c>
      <c r="AJ77">
        <v>0</v>
      </c>
      <c r="AK77" t="s">
        <v>372</v>
      </c>
      <c r="AP77" t="s">
        <v>374</v>
      </c>
      <c r="AQ77" s="73"/>
      <c r="BR77" s="73"/>
      <c r="CX77" s="73"/>
      <c r="EQ77" s="73"/>
    </row>
    <row r="78" spans="1:209" ht="14.25" customHeight="1" x14ac:dyDescent="0.25">
      <c r="A78" t="s">
        <v>459</v>
      </c>
      <c r="B78" t="s">
        <v>381</v>
      </c>
      <c r="C78">
        <v>1</v>
      </c>
      <c r="D78" t="s">
        <v>366</v>
      </c>
      <c r="E78" s="73"/>
      <c r="AB78" s="73"/>
      <c r="AQ78" s="73">
        <v>46190</v>
      </c>
      <c r="AR78" t="s">
        <v>382</v>
      </c>
      <c r="AU78" t="s">
        <v>384</v>
      </c>
      <c r="AV78" t="s">
        <v>383</v>
      </c>
      <c r="AW78" t="s">
        <v>384</v>
      </c>
      <c r="AX78" t="s">
        <v>384</v>
      </c>
      <c r="AY78" t="s">
        <v>384</v>
      </c>
      <c r="AZ78" t="s">
        <v>383</v>
      </c>
      <c r="BA78" t="s">
        <v>367</v>
      </c>
      <c r="BB78" t="s">
        <v>372</v>
      </c>
      <c r="BC78">
        <v>4</v>
      </c>
      <c r="BD78" t="s">
        <v>374</v>
      </c>
      <c r="BR78" s="73"/>
      <c r="CX78" s="73"/>
      <c r="EQ78" s="73"/>
    </row>
    <row r="79" spans="1:209" ht="14.25" customHeight="1" x14ac:dyDescent="0.25">
      <c r="A79" t="s">
        <v>460</v>
      </c>
      <c r="D79" t="s">
        <v>366</v>
      </c>
      <c r="E79" s="73">
        <v>46190</v>
      </c>
      <c r="F79" t="s">
        <v>367</v>
      </c>
      <c r="H79" t="s">
        <v>368</v>
      </c>
      <c r="I79" t="s">
        <v>368</v>
      </c>
      <c r="J79">
        <v>1977</v>
      </c>
      <c r="K79" t="s">
        <v>369</v>
      </c>
      <c r="L79" t="s">
        <v>370</v>
      </c>
      <c r="M79" t="s">
        <v>371</v>
      </c>
      <c r="N79" t="s">
        <v>371</v>
      </c>
      <c r="O79" t="s">
        <v>371</v>
      </c>
      <c r="P79" t="s">
        <v>371</v>
      </c>
      <c r="Q79" t="s">
        <v>371</v>
      </c>
      <c r="R79" t="s">
        <v>372</v>
      </c>
      <c r="S79" t="s">
        <v>367</v>
      </c>
      <c r="T79" t="s">
        <v>372</v>
      </c>
      <c r="U79" t="s">
        <v>367</v>
      </c>
      <c r="W79" t="s">
        <v>461</v>
      </c>
      <c r="X79" t="s">
        <v>399</v>
      </c>
      <c r="Y79" t="s">
        <v>421</v>
      </c>
      <c r="Z79" t="s">
        <v>374</v>
      </c>
      <c r="AB79" s="73"/>
      <c r="AQ79" s="73"/>
      <c r="BG79" t="s">
        <v>371</v>
      </c>
      <c r="BH79" t="s">
        <v>371</v>
      </c>
      <c r="BI79" t="s">
        <v>371</v>
      </c>
      <c r="BJ79" t="s">
        <v>371</v>
      </c>
      <c r="BK79" t="s">
        <v>371</v>
      </c>
      <c r="BL79" t="s">
        <v>371</v>
      </c>
      <c r="BM79" t="s">
        <v>371</v>
      </c>
      <c r="BN79" t="s">
        <v>371</v>
      </c>
      <c r="BO79" t="s">
        <v>371</v>
      </c>
      <c r="BQ79" t="s">
        <v>375</v>
      </c>
      <c r="BR79" s="73"/>
      <c r="CX79" s="73"/>
      <c r="EQ79" s="73"/>
      <c r="FT79">
        <v>0</v>
      </c>
      <c r="FZ79" t="s">
        <v>371</v>
      </c>
      <c r="GA79" t="s">
        <v>371</v>
      </c>
      <c r="GB79" t="s">
        <v>371</v>
      </c>
      <c r="GC79" t="s">
        <v>371</v>
      </c>
      <c r="GD79" t="s">
        <v>371</v>
      </c>
      <c r="GF79" t="s">
        <v>371</v>
      </c>
      <c r="GG79" t="s">
        <v>371</v>
      </c>
      <c r="GH79" t="s">
        <v>371</v>
      </c>
      <c r="GI79" t="s">
        <v>371</v>
      </c>
      <c r="GJ79" t="s">
        <v>371</v>
      </c>
      <c r="GK79" t="s">
        <v>371</v>
      </c>
      <c r="GN79" t="s">
        <v>371</v>
      </c>
      <c r="GO79" t="s">
        <v>371</v>
      </c>
      <c r="GP79" t="s">
        <v>371</v>
      </c>
      <c r="GQ79" t="s">
        <v>371</v>
      </c>
      <c r="GR79" t="s">
        <v>371</v>
      </c>
      <c r="GS79" t="s">
        <v>371</v>
      </c>
      <c r="GT79" t="s">
        <v>371</v>
      </c>
      <c r="GU79" t="s">
        <v>371</v>
      </c>
      <c r="GV79" t="s">
        <v>371</v>
      </c>
      <c r="GW79" t="s">
        <v>371</v>
      </c>
      <c r="GX79" t="s">
        <v>371</v>
      </c>
      <c r="HA79" t="s">
        <v>375</v>
      </c>
    </row>
    <row r="80" spans="1:209" ht="14.25" customHeight="1" x14ac:dyDescent="0.25">
      <c r="A80" t="s">
        <v>460</v>
      </c>
      <c r="B80" t="s">
        <v>376</v>
      </c>
      <c r="C80">
        <v>1</v>
      </c>
      <c r="D80" t="s">
        <v>366</v>
      </c>
      <c r="E80" s="73"/>
      <c r="AA80" t="s">
        <v>377</v>
      </c>
      <c r="AB80" s="73">
        <v>46190</v>
      </c>
      <c r="AC80" t="s">
        <v>397</v>
      </c>
      <c r="AF80" t="s">
        <v>379</v>
      </c>
      <c r="AI80" t="s">
        <v>380</v>
      </c>
      <c r="AJ80">
        <v>0</v>
      </c>
      <c r="AK80" t="s">
        <v>372</v>
      </c>
      <c r="AP80" t="s">
        <v>374</v>
      </c>
      <c r="AQ80" s="73"/>
      <c r="BR80" s="73"/>
      <c r="CX80" s="73"/>
      <c r="EQ80" s="73"/>
    </row>
    <row r="81" spans="1:209" ht="14.25" customHeight="1" x14ac:dyDescent="0.25">
      <c r="A81" t="s">
        <v>460</v>
      </c>
      <c r="B81" t="s">
        <v>381</v>
      </c>
      <c r="C81">
        <v>1</v>
      </c>
      <c r="D81" t="s">
        <v>366</v>
      </c>
      <c r="E81" s="73"/>
      <c r="AB81" s="73"/>
      <c r="AQ81" s="73">
        <v>46190</v>
      </c>
      <c r="AR81" t="s">
        <v>394</v>
      </c>
      <c r="AU81" t="s">
        <v>383</v>
      </c>
      <c r="AV81" t="s">
        <v>385</v>
      </c>
      <c r="AW81" t="s">
        <v>384</v>
      </c>
      <c r="AX81" t="s">
        <v>385</v>
      </c>
      <c r="AY81" t="s">
        <v>383</v>
      </c>
      <c r="AZ81" t="s">
        <v>384</v>
      </c>
      <c r="BA81" t="s">
        <v>367</v>
      </c>
      <c r="BB81" t="s">
        <v>367</v>
      </c>
      <c r="BC81">
        <v>6</v>
      </c>
      <c r="BD81" t="s">
        <v>374</v>
      </c>
      <c r="BR81" s="73"/>
      <c r="CX81" s="73"/>
      <c r="EQ81" s="73"/>
    </row>
    <row r="82" spans="1:209" ht="14.25" customHeight="1" x14ac:dyDescent="0.25">
      <c r="A82" t="s">
        <v>462</v>
      </c>
      <c r="D82" t="s">
        <v>366</v>
      </c>
      <c r="E82" s="73">
        <v>46190</v>
      </c>
      <c r="F82" t="s">
        <v>367</v>
      </c>
      <c r="H82" t="s">
        <v>368</v>
      </c>
      <c r="I82" t="s">
        <v>368</v>
      </c>
      <c r="J82">
        <v>1973</v>
      </c>
      <c r="K82" t="s">
        <v>369</v>
      </c>
      <c r="L82" t="s">
        <v>370</v>
      </c>
      <c r="M82" t="s">
        <v>371</v>
      </c>
      <c r="N82" t="s">
        <v>371</v>
      </c>
      <c r="O82" t="s">
        <v>371</v>
      </c>
      <c r="P82" t="s">
        <v>371</v>
      </c>
      <c r="Q82" t="s">
        <v>371</v>
      </c>
      <c r="R82" t="s">
        <v>372</v>
      </c>
      <c r="S82" t="s">
        <v>372</v>
      </c>
      <c r="T82" t="s">
        <v>372</v>
      </c>
      <c r="U82" t="s">
        <v>367</v>
      </c>
      <c r="W82" t="s">
        <v>367</v>
      </c>
      <c r="X82" t="s">
        <v>432</v>
      </c>
      <c r="Y82" t="s">
        <v>421</v>
      </c>
      <c r="Z82" t="s">
        <v>374</v>
      </c>
      <c r="AB82" s="73"/>
      <c r="AQ82" s="73"/>
      <c r="BG82" t="s">
        <v>371</v>
      </c>
      <c r="BH82" t="s">
        <v>371</v>
      </c>
      <c r="BI82" t="s">
        <v>371</v>
      </c>
      <c r="BJ82" t="s">
        <v>371</v>
      </c>
      <c r="BK82" t="s">
        <v>371</v>
      </c>
      <c r="BL82" t="s">
        <v>371</v>
      </c>
      <c r="BM82" t="s">
        <v>371</v>
      </c>
      <c r="BN82" t="s">
        <v>371</v>
      </c>
      <c r="BO82" t="s">
        <v>371</v>
      </c>
      <c r="BQ82" t="s">
        <v>375</v>
      </c>
      <c r="BR82" s="73"/>
      <c r="CX82" s="73"/>
      <c r="EQ82" s="73"/>
      <c r="FT82">
        <v>0</v>
      </c>
      <c r="FZ82" t="s">
        <v>371</v>
      </c>
      <c r="GA82" t="s">
        <v>371</v>
      </c>
      <c r="GB82" t="s">
        <v>371</v>
      </c>
      <c r="GC82" t="s">
        <v>371</v>
      </c>
      <c r="GD82" t="s">
        <v>371</v>
      </c>
      <c r="GF82" t="s">
        <v>371</v>
      </c>
      <c r="GG82" t="s">
        <v>371</v>
      </c>
      <c r="GH82" t="s">
        <v>371</v>
      </c>
      <c r="GI82" t="s">
        <v>371</v>
      </c>
      <c r="GJ82" t="s">
        <v>371</v>
      </c>
      <c r="GK82" t="s">
        <v>371</v>
      </c>
      <c r="GN82" t="s">
        <v>371</v>
      </c>
      <c r="GO82" t="s">
        <v>371</v>
      </c>
      <c r="GP82" t="s">
        <v>371</v>
      </c>
      <c r="GQ82" t="s">
        <v>371</v>
      </c>
      <c r="GR82" t="s">
        <v>371</v>
      </c>
      <c r="GS82" t="s">
        <v>371</v>
      </c>
      <c r="GT82" t="s">
        <v>371</v>
      </c>
      <c r="GU82" t="s">
        <v>371</v>
      </c>
      <c r="GV82" t="s">
        <v>371</v>
      </c>
      <c r="GW82" t="s">
        <v>371</v>
      </c>
      <c r="GX82" t="s">
        <v>371</v>
      </c>
      <c r="HA82" t="s">
        <v>375</v>
      </c>
    </row>
    <row r="83" spans="1:209" ht="14.25" customHeight="1" x14ac:dyDescent="0.25">
      <c r="A83" t="s">
        <v>462</v>
      </c>
      <c r="B83" t="s">
        <v>376</v>
      </c>
      <c r="C83">
        <v>1</v>
      </c>
      <c r="D83" t="s">
        <v>366</v>
      </c>
      <c r="E83" s="73"/>
      <c r="AA83" t="s">
        <v>377</v>
      </c>
      <c r="AB83" s="73">
        <v>46190</v>
      </c>
      <c r="AC83" t="s">
        <v>397</v>
      </c>
      <c r="AF83" t="s">
        <v>379</v>
      </c>
      <c r="AI83" t="s">
        <v>380</v>
      </c>
      <c r="AJ83">
        <v>0</v>
      </c>
      <c r="AK83" t="s">
        <v>372</v>
      </c>
      <c r="AP83" t="s">
        <v>374</v>
      </c>
      <c r="AQ83" s="73"/>
      <c r="BR83" s="73"/>
      <c r="CX83" s="73"/>
      <c r="EQ83" s="73"/>
    </row>
    <row r="84" spans="1:209" ht="14.25" customHeight="1" x14ac:dyDescent="0.25">
      <c r="A84" t="s">
        <v>462</v>
      </c>
      <c r="B84" t="s">
        <v>381</v>
      </c>
      <c r="C84">
        <v>1</v>
      </c>
      <c r="D84" t="s">
        <v>366</v>
      </c>
      <c r="E84" s="73"/>
      <c r="AB84" s="73"/>
      <c r="AQ84" s="73">
        <v>46190</v>
      </c>
      <c r="AR84" t="s">
        <v>382</v>
      </c>
      <c r="AU84" t="s">
        <v>383</v>
      </c>
      <c r="AV84" t="s">
        <v>383</v>
      </c>
      <c r="AW84" t="s">
        <v>384</v>
      </c>
      <c r="AX84" t="s">
        <v>383</v>
      </c>
      <c r="AY84" t="s">
        <v>383</v>
      </c>
      <c r="AZ84" t="s">
        <v>384</v>
      </c>
      <c r="BA84" t="s">
        <v>367</v>
      </c>
      <c r="BB84" t="s">
        <v>367</v>
      </c>
      <c r="BC84">
        <v>4</v>
      </c>
      <c r="BD84" t="s">
        <v>374</v>
      </c>
      <c r="BR84" s="73"/>
      <c r="CX84" s="73"/>
      <c r="EQ84" s="73"/>
    </row>
    <row r="85" spans="1:209" ht="14.25" customHeight="1" x14ac:dyDescent="0.25">
      <c r="A85" t="s">
        <v>463</v>
      </c>
      <c r="D85" t="s">
        <v>366</v>
      </c>
      <c r="E85" s="73">
        <v>46190</v>
      </c>
      <c r="F85" t="s">
        <v>372</v>
      </c>
      <c r="G85" t="s">
        <v>464</v>
      </c>
      <c r="H85" t="s">
        <v>368</v>
      </c>
      <c r="I85" t="s">
        <v>368</v>
      </c>
      <c r="J85">
        <v>1982</v>
      </c>
      <c r="K85" t="s">
        <v>391</v>
      </c>
      <c r="L85" t="s">
        <v>370</v>
      </c>
      <c r="M85" t="s">
        <v>371</v>
      </c>
      <c r="N85" t="s">
        <v>371</v>
      </c>
      <c r="O85" t="s">
        <v>371</v>
      </c>
      <c r="P85" t="s">
        <v>371</v>
      </c>
      <c r="Q85" t="s">
        <v>371</v>
      </c>
      <c r="R85" t="s">
        <v>372</v>
      </c>
      <c r="S85" t="s">
        <v>372</v>
      </c>
      <c r="T85" t="s">
        <v>367</v>
      </c>
      <c r="U85" t="s">
        <v>367</v>
      </c>
      <c r="W85" t="s">
        <v>367</v>
      </c>
      <c r="X85" t="s">
        <v>373</v>
      </c>
      <c r="Y85" t="s">
        <v>396</v>
      </c>
      <c r="Z85" t="s">
        <v>374</v>
      </c>
      <c r="AB85" s="73"/>
      <c r="AQ85" s="73"/>
      <c r="BG85" t="s">
        <v>371</v>
      </c>
      <c r="BH85" t="s">
        <v>371</v>
      </c>
      <c r="BI85" t="s">
        <v>371</v>
      </c>
      <c r="BJ85" t="s">
        <v>371</v>
      </c>
      <c r="BK85" t="s">
        <v>371</v>
      </c>
      <c r="BL85" t="s">
        <v>371</v>
      </c>
      <c r="BM85" t="s">
        <v>371</v>
      </c>
      <c r="BN85" t="s">
        <v>371</v>
      </c>
      <c r="BO85" t="s">
        <v>371</v>
      </c>
      <c r="BQ85" t="s">
        <v>375</v>
      </c>
      <c r="BR85" s="73"/>
      <c r="CX85" s="73"/>
      <c r="EQ85" s="73"/>
      <c r="FT85">
        <v>0</v>
      </c>
      <c r="FZ85" t="s">
        <v>371</v>
      </c>
      <c r="GA85" t="s">
        <v>371</v>
      </c>
      <c r="GB85" t="s">
        <v>371</v>
      </c>
      <c r="GC85" t="s">
        <v>371</v>
      </c>
      <c r="GD85" t="s">
        <v>371</v>
      </c>
      <c r="GF85" t="s">
        <v>371</v>
      </c>
      <c r="GG85" t="s">
        <v>371</v>
      </c>
      <c r="GH85" t="s">
        <v>371</v>
      </c>
      <c r="GI85" t="s">
        <v>371</v>
      </c>
      <c r="GJ85" t="s">
        <v>371</v>
      </c>
      <c r="GK85" t="s">
        <v>371</v>
      </c>
      <c r="GN85" t="s">
        <v>371</v>
      </c>
      <c r="GO85" t="s">
        <v>371</v>
      </c>
      <c r="GP85" t="s">
        <v>371</v>
      </c>
      <c r="GQ85" t="s">
        <v>371</v>
      </c>
      <c r="GR85" t="s">
        <v>371</v>
      </c>
      <c r="GS85" t="s">
        <v>371</v>
      </c>
      <c r="GT85" t="s">
        <v>371</v>
      </c>
      <c r="GU85" t="s">
        <v>371</v>
      </c>
      <c r="GV85" t="s">
        <v>371</v>
      </c>
      <c r="GW85" t="s">
        <v>371</v>
      </c>
      <c r="GX85" t="s">
        <v>371</v>
      </c>
      <c r="HA85" t="s">
        <v>375</v>
      </c>
    </row>
    <row r="86" spans="1:209" ht="14.25" customHeight="1" x14ac:dyDescent="0.25">
      <c r="A86" t="s">
        <v>463</v>
      </c>
      <c r="B86" t="s">
        <v>376</v>
      </c>
      <c r="C86">
        <v>1</v>
      </c>
      <c r="D86" t="s">
        <v>366</v>
      </c>
      <c r="E86" s="73"/>
      <c r="AA86" t="s">
        <v>377</v>
      </c>
      <c r="AB86" s="73">
        <v>46190</v>
      </c>
      <c r="AC86" t="s">
        <v>397</v>
      </c>
      <c r="AF86" t="s">
        <v>379</v>
      </c>
      <c r="AI86" t="s">
        <v>380</v>
      </c>
      <c r="AJ86">
        <v>0</v>
      </c>
      <c r="AK86" t="s">
        <v>372</v>
      </c>
      <c r="AP86" t="s">
        <v>374</v>
      </c>
      <c r="AQ86" s="73"/>
      <c r="BR86" s="73"/>
      <c r="CX86" s="73"/>
      <c r="EQ86" s="73"/>
    </row>
    <row r="87" spans="1:209" ht="14.25" customHeight="1" x14ac:dyDescent="0.25">
      <c r="A87" t="s">
        <v>463</v>
      </c>
      <c r="B87" t="s">
        <v>381</v>
      </c>
      <c r="C87">
        <v>1</v>
      </c>
      <c r="D87" t="s">
        <v>366</v>
      </c>
      <c r="E87" s="73"/>
      <c r="AB87" s="73"/>
      <c r="AQ87" s="73">
        <v>46190</v>
      </c>
      <c r="AR87" t="s">
        <v>397</v>
      </c>
      <c r="AU87" t="s">
        <v>384</v>
      </c>
      <c r="AV87" t="s">
        <v>384</v>
      </c>
      <c r="AW87" t="s">
        <v>383</v>
      </c>
      <c r="AX87" t="s">
        <v>383</v>
      </c>
      <c r="AY87" t="s">
        <v>404</v>
      </c>
      <c r="AZ87" t="s">
        <v>384</v>
      </c>
      <c r="BA87" t="s">
        <v>367</v>
      </c>
      <c r="BB87" t="s">
        <v>372</v>
      </c>
      <c r="BC87">
        <v>7</v>
      </c>
      <c r="BD87" t="s">
        <v>374</v>
      </c>
      <c r="BR87" s="73"/>
      <c r="CX87" s="73"/>
      <c r="EQ87" s="73"/>
    </row>
    <row r="88" spans="1:209" ht="14.25" customHeight="1" x14ac:dyDescent="0.25">
      <c r="A88" t="s">
        <v>465</v>
      </c>
      <c r="D88" t="s">
        <v>366</v>
      </c>
      <c r="E88" s="73">
        <v>46190</v>
      </c>
      <c r="F88" t="s">
        <v>367</v>
      </c>
      <c r="H88" t="s">
        <v>368</v>
      </c>
      <c r="I88" t="s">
        <v>368</v>
      </c>
      <c r="J88">
        <v>1979</v>
      </c>
      <c r="K88" t="s">
        <v>369</v>
      </c>
      <c r="L88" t="s">
        <v>370</v>
      </c>
      <c r="M88" t="s">
        <v>371</v>
      </c>
      <c r="N88" t="s">
        <v>371</v>
      </c>
      <c r="O88" t="s">
        <v>371</v>
      </c>
      <c r="P88" t="s">
        <v>371</v>
      </c>
      <c r="Q88" t="s">
        <v>371</v>
      </c>
      <c r="R88" t="s">
        <v>372</v>
      </c>
      <c r="S88" t="s">
        <v>372</v>
      </c>
      <c r="T88" t="s">
        <v>367</v>
      </c>
      <c r="U88" t="s">
        <v>367</v>
      </c>
      <c r="W88" t="s">
        <v>367</v>
      </c>
      <c r="X88" t="s">
        <v>399</v>
      </c>
      <c r="Y88" t="s">
        <v>421</v>
      </c>
      <c r="Z88" t="s">
        <v>375</v>
      </c>
      <c r="AB88" s="73"/>
      <c r="AQ88" s="73"/>
      <c r="BG88" t="s">
        <v>371</v>
      </c>
      <c r="BH88" t="s">
        <v>371</v>
      </c>
      <c r="BI88" t="s">
        <v>371</v>
      </c>
      <c r="BJ88" t="s">
        <v>371</v>
      </c>
      <c r="BK88" t="s">
        <v>371</v>
      </c>
      <c r="BL88" t="s">
        <v>371</v>
      </c>
      <c r="BM88" t="s">
        <v>371</v>
      </c>
      <c r="BN88" t="s">
        <v>371</v>
      </c>
      <c r="BO88" t="s">
        <v>371</v>
      </c>
      <c r="BQ88" t="s">
        <v>375</v>
      </c>
      <c r="BR88" s="73"/>
      <c r="CX88" s="73"/>
      <c r="EQ88" s="73"/>
      <c r="FT88">
        <v>0</v>
      </c>
      <c r="FZ88" t="s">
        <v>371</v>
      </c>
      <c r="GA88" t="s">
        <v>371</v>
      </c>
      <c r="GB88" t="s">
        <v>371</v>
      </c>
      <c r="GC88" t="s">
        <v>371</v>
      </c>
      <c r="GD88" t="s">
        <v>371</v>
      </c>
      <c r="GF88" t="s">
        <v>371</v>
      </c>
      <c r="GG88" t="s">
        <v>371</v>
      </c>
      <c r="GH88" t="s">
        <v>371</v>
      </c>
      <c r="GI88" t="s">
        <v>371</v>
      </c>
      <c r="GJ88" t="s">
        <v>371</v>
      </c>
      <c r="GK88" t="s">
        <v>371</v>
      </c>
      <c r="GN88" t="s">
        <v>371</v>
      </c>
      <c r="GO88" t="s">
        <v>371</v>
      </c>
      <c r="GP88" t="s">
        <v>371</v>
      </c>
      <c r="GQ88" t="s">
        <v>371</v>
      </c>
      <c r="GR88" t="s">
        <v>371</v>
      </c>
      <c r="GS88" t="s">
        <v>371</v>
      </c>
      <c r="GT88" t="s">
        <v>371</v>
      </c>
      <c r="GU88" t="s">
        <v>371</v>
      </c>
      <c r="GV88" t="s">
        <v>371</v>
      </c>
      <c r="GW88" t="s">
        <v>371</v>
      </c>
      <c r="GX88" t="s">
        <v>371</v>
      </c>
      <c r="HA88" t="s">
        <v>375</v>
      </c>
    </row>
    <row r="89" spans="1:209" ht="14.25" customHeight="1" x14ac:dyDescent="0.25">
      <c r="A89" t="s">
        <v>465</v>
      </c>
      <c r="B89" t="s">
        <v>376</v>
      </c>
      <c r="C89">
        <v>1</v>
      </c>
      <c r="D89" t="s">
        <v>366</v>
      </c>
      <c r="E89" s="73"/>
      <c r="AB89" s="73"/>
      <c r="AP89" t="s">
        <v>375</v>
      </c>
      <c r="AQ89" s="73"/>
      <c r="BR89" s="73"/>
      <c r="CX89" s="73"/>
      <c r="EQ89" s="73"/>
    </row>
    <row r="90" spans="1:209" ht="14.25" customHeight="1" x14ac:dyDescent="0.25">
      <c r="A90" t="s">
        <v>466</v>
      </c>
      <c r="D90" t="s">
        <v>366</v>
      </c>
      <c r="E90" s="73">
        <v>46190</v>
      </c>
      <c r="F90" t="s">
        <v>367</v>
      </c>
      <c r="H90" t="s">
        <v>368</v>
      </c>
      <c r="I90" t="s">
        <v>368</v>
      </c>
      <c r="J90">
        <v>2006</v>
      </c>
      <c r="K90" t="s">
        <v>369</v>
      </c>
      <c r="L90" t="s">
        <v>370</v>
      </c>
      <c r="M90" t="s">
        <v>371</v>
      </c>
      <c r="N90" t="s">
        <v>371</v>
      </c>
      <c r="O90" t="s">
        <v>371</v>
      </c>
      <c r="P90" t="s">
        <v>371</v>
      </c>
      <c r="Q90" t="s">
        <v>371</v>
      </c>
      <c r="R90" t="s">
        <v>372</v>
      </c>
      <c r="S90" t="s">
        <v>367</v>
      </c>
      <c r="T90" t="s">
        <v>372</v>
      </c>
      <c r="U90" t="s">
        <v>367</v>
      </c>
      <c r="W90" t="s">
        <v>367</v>
      </c>
      <c r="X90" t="s">
        <v>373</v>
      </c>
      <c r="Y90" t="s">
        <v>367</v>
      </c>
      <c r="Z90" t="s">
        <v>374</v>
      </c>
      <c r="AB90" s="73"/>
      <c r="AQ90" s="73"/>
      <c r="BG90" t="s">
        <v>371</v>
      </c>
      <c r="BH90" t="s">
        <v>371</v>
      </c>
      <c r="BI90" t="s">
        <v>371</v>
      </c>
      <c r="BJ90" t="s">
        <v>371</v>
      </c>
      <c r="BK90" t="s">
        <v>371</v>
      </c>
      <c r="BL90" t="s">
        <v>371</v>
      </c>
      <c r="BM90" t="s">
        <v>371</v>
      </c>
      <c r="BN90" t="s">
        <v>371</v>
      </c>
      <c r="BO90" t="s">
        <v>371</v>
      </c>
      <c r="BQ90" t="s">
        <v>375</v>
      </c>
      <c r="BR90" s="73"/>
      <c r="CX90" s="73"/>
      <c r="EQ90" s="73"/>
      <c r="FT90">
        <v>0</v>
      </c>
      <c r="FZ90" t="s">
        <v>371</v>
      </c>
      <c r="GA90" t="s">
        <v>371</v>
      </c>
      <c r="GB90" t="s">
        <v>371</v>
      </c>
      <c r="GC90" t="s">
        <v>371</v>
      </c>
      <c r="GD90" t="s">
        <v>371</v>
      </c>
      <c r="GF90" t="s">
        <v>371</v>
      </c>
      <c r="GG90" t="s">
        <v>371</v>
      </c>
      <c r="GH90" t="s">
        <v>371</v>
      </c>
      <c r="GI90" t="s">
        <v>371</v>
      </c>
      <c r="GJ90" t="s">
        <v>371</v>
      </c>
      <c r="GK90" t="s">
        <v>371</v>
      </c>
      <c r="GN90" t="s">
        <v>371</v>
      </c>
      <c r="GO90" t="s">
        <v>371</v>
      </c>
      <c r="GP90" t="s">
        <v>371</v>
      </c>
      <c r="GQ90" t="s">
        <v>371</v>
      </c>
      <c r="GR90" t="s">
        <v>371</v>
      </c>
      <c r="GS90" t="s">
        <v>371</v>
      </c>
      <c r="GT90" t="s">
        <v>371</v>
      </c>
      <c r="GU90" t="s">
        <v>371</v>
      </c>
      <c r="GV90" t="s">
        <v>371</v>
      </c>
      <c r="GW90" t="s">
        <v>371</v>
      </c>
      <c r="GX90" t="s">
        <v>371</v>
      </c>
      <c r="HA90" t="s">
        <v>375</v>
      </c>
    </row>
    <row r="91" spans="1:209" ht="14.25" customHeight="1" x14ac:dyDescent="0.25">
      <c r="A91" t="s">
        <v>466</v>
      </c>
      <c r="B91" t="s">
        <v>376</v>
      </c>
      <c r="C91">
        <v>1</v>
      </c>
      <c r="D91" t="s">
        <v>366</v>
      </c>
      <c r="E91" s="73"/>
      <c r="AA91" t="s">
        <v>377</v>
      </c>
      <c r="AB91" s="73">
        <v>46190</v>
      </c>
      <c r="AC91" t="s">
        <v>397</v>
      </c>
      <c r="AF91" t="s">
        <v>379</v>
      </c>
      <c r="AI91" t="s">
        <v>380</v>
      </c>
      <c r="AJ91">
        <v>0</v>
      </c>
      <c r="AK91" t="s">
        <v>372</v>
      </c>
      <c r="AP91" t="s">
        <v>374</v>
      </c>
      <c r="AQ91" s="73"/>
      <c r="BR91" s="73"/>
      <c r="CX91" s="73"/>
      <c r="EQ91" s="73"/>
    </row>
    <row r="92" spans="1:209" ht="14.25" customHeight="1" x14ac:dyDescent="0.25">
      <c r="A92" t="s">
        <v>466</v>
      </c>
      <c r="B92" t="s">
        <v>381</v>
      </c>
      <c r="C92">
        <v>1</v>
      </c>
      <c r="D92" t="s">
        <v>366</v>
      </c>
      <c r="E92" s="73"/>
      <c r="AB92" s="73"/>
      <c r="AQ92" s="73">
        <v>46190</v>
      </c>
      <c r="AR92" t="s">
        <v>394</v>
      </c>
      <c r="AU92" t="s">
        <v>383</v>
      </c>
      <c r="AV92" t="s">
        <v>383</v>
      </c>
      <c r="AW92" t="s">
        <v>384</v>
      </c>
      <c r="AX92" t="s">
        <v>383</v>
      </c>
      <c r="AY92" t="s">
        <v>383</v>
      </c>
      <c r="AZ92" t="s">
        <v>384</v>
      </c>
      <c r="BA92" t="s">
        <v>367</v>
      </c>
      <c r="BB92" t="s">
        <v>367</v>
      </c>
      <c r="BC92">
        <v>4</v>
      </c>
      <c r="BD92" t="s">
        <v>374</v>
      </c>
      <c r="BR92" s="73"/>
      <c r="CX92" s="73"/>
      <c r="EQ92" s="73"/>
    </row>
    <row r="93" spans="1:209" ht="14.25" customHeight="1" x14ac:dyDescent="0.25">
      <c r="A93" t="s">
        <v>467</v>
      </c>
      <c r="D93" t="s">
        <v>366</v>
      </c>
      <c r="E93" s="73">
        <v>46190</v>
      </c>
      <c r="F93" t="s">
        <v>367</v>
      </c>
      <c r="H93" t="s">
        <v>368</v>
      </c>
      <c r="I93" t="s">
        <v>368</v>
      </c>
      <c r="J93">
        <v>2007</v>
      </c>
      <c r="K93" t="s">
        <v>369</v>
      </c>
      <c r="L93" t="s">
        <v>370</v>
      </c>
      <c r="M93" t="s">
        <v>371</v>
      </c>
      <c r="N93" t="s">
        <v>371</v>
      </c>
      <c r="O93" t="s">
        <v>371</v>
      </c>
      <c r="P93" t="s">
        <v>371</v>
      </c>
      <c r="Q93" t="s">
        <v>371</v>
      </c>
      <c r="R93" t="s">
        <v>372</v>
      </c>
      <c r="S93" t="s">
        <v>367</v>
      </c>
      <c r="T93" t="s">
        <v>372</v>
      </c>
      <c r="U93" t="s">
        <v>367</v>
      </c>
      <c r="W93" t="s">
        <v>367</v>
      </c>
      <c r="X93" t="s">
        <v>373</v>
      </c>
      <c r="Y93" t="s">
        <v>367</v>
      </c>
      <c r="Z93" t="s">
        <v>374</v>
      </c>
      <c r="AB93" s="73"/>
      <c r="AQ93" s="73"/>
      <c r="BG93" t="s">
        <v>371</v>
      </c>
      <c r="BH93" t="s">
        <v>371</v>
      </c>
      <c r="BI93" t="s">
        <v>371</v>
      </c>
      <c r="BJ93" t="s">
        <v>371</v>
      </c>
      <c r="BK93" t="s">
        <v>371</v>
      </c>
      <c r="BL93" t="s">
        <v>371</v>
      </c>
      <c r="BM93" t="s">
        <v>371</v>
      </c>
      <c r="BN93" t="s">
        <v>371</v>
      </c>
      <c r="BO93" t="s">
        <v>371</v>
      </c>
      <c r="BQ93" t="s">
        <v>375</v>
      </c>
      <c r="BR93" s="73"/>
      <c r="CX93" s="73"/>
      <c r="EQ93" s="73"/>
      <c r="FT93">
        <v>0</v>
      </c>
      <c r="FZ93" t="s">
        <v>371</v>
      </c>
      <c r="GA93" t="s">
        <v>371</v>
      </c>
      <c r="GB93" t="s">
        <v>371</v>
      </c>
      <c r="GC93" t="s">
        <v>371</v>
      </c>
      <c r="GD93" t="s">
        <v>371</v>
      </c>
      <c r="GF93" t="s">
        <v>371</v>
      </c>
      <c r="GG93" t="s">
        <v>371</v>
      </c>
      <c r="GH93" t="s">
        <v>371</v>
      </c>
      <c r="GI93" t="s">
        <v>371</v>
      </c>
      <c r="GJ93" t="s">
        <v>371</v>
      </c>
      <c r="GK93" t="s">
        <v>371</v>
      </c>
      <c r="GN93" t="s">
        <v>371</v>
      </c>
      <c r="GO93" t="s">
        <v>371</v>
      </c>
      <c r="GP93" t="s">
        <v>371</v>
      </c>
      <c r="GQ93" t="s">
        <v>371</v>
      </c>
      <c r="GR93" t="s">
        <v>371</v>
      </c>
      <c r="GS93" t="s">
        <v>371</v>
      </c>
      <c r="GT93" t="s">
        <v>371</v>
      </c>
      <c r="GU93" t="s">
        <v>371</v>
      </c>
      <c r="GV93" t="s">
        <v>371</v>
      </c>
      <c r="GW93" t="s">
        <v>371</v>
      </c>
      <c r="GX93" t="s">
        <v>371</v>
      </c>
      <c r="HA93" t="s">
        <v>375</v>
      </c>
    </row>
    <row r="94" spans="1:209" ht="14.25" customHeight="1" x14ac:dyDescent="0.25">
      <c r="A94" t="s">
        <v>467</v>
      </c>
      <c r="B94" t="s">
        <v>376</v>
      </c>
      <c r="C94">
        <v>1</v>
      </c>
      <c r="D94" t="s">
        <v>366</v>
      </c>
      <c r="E94" s="73"/>
      <c r="AA94" t="s">
        <v>377</v>
      </c>
      <c r="AB94" s="73">
        <v>46190</v>
      </c>
      <c r="AC94" t="s">
        <v>397</v>
      </c>
      <c r="AF94" t="s">
        <v>379</v>
      </c>
      <c r="AI94" t="s">
        <v>380</v>
      </c>
      <c r="AJ94">
        <v>0</v>
      </c>
      <c r="AK94" t="s">
        <v>372</v>
      </c>
      <c r="AP94" t="s">
        <v>374</v>
      </c>
      <c r="AQ94" s="73"/>
      <c r="BR94" s="73"/>
      <c r="CX94" s="73"/>
      <c r="EQ94" s="73"/>
    </row>
    <row r="95" spans="1:209" ht="14.25" customHeight="1" x14ac:dyDescent="0.25">
      <c r="A95" t="s">
        <v>467</v>
      </c>
      <c r="B95" t="s">
        <v>381</v>
      </c>
      <c r="C95">
        <v>1</v>
      </c>
      <c r="D95" t="s">
        <v>366</v>
      </c>
      <c r="E95" s="73"/>
      <c r="AB95" s="73"/>
      <c r="AQ95" s="73">
        <v>46190</v>
      </c>
      <c r="AR95" t="s">
        <v>394</v>
      </c>
      <c r="AU95" t="s">
        <v>383</v>
      </c>
      <c r="AV95" t="s">
        <v>383</v>
      </c>
      <c r="AW95" t="s">
        <v>384</v>
      </c>
      <c r="AX95" t="s">
        <v>383</v>
      </c>
      <c r="AY95" t="s">
        <v>384</v>
      </c>
      <c r="AZ95" t="s">
        <v>384</v>
      </c>
      <c r="BA95" t="s">
        <v>367</v>
      </c>
      <c r="BB95" t="s">
        <v>367</v>
      </c>
      <c r="BC95">
        <v>3</v>
      </c>
      <c r="BD95" t="s">
        <v>374</v>
      </c>
      <c r="BR95" s="73"/>
      <c r="CX95" s="73"/>
      <c r="EQ95" s="73"/>
    </row>
    <row r="96" spans="1:209" ht="14.25" customHeight="1" x14ac:dyDescent="0.25">
      <c r="A96" t="s">
        <v>468</v>
      </c>
      <c r="D96" t="s">
        <v>366</v>
      </c>
      <c r="E96" s="73">
        <v>46190</v>
      </c>
      <c r="F96" t="s">
        <v>367</v>
      </c>
      <c r="H96" t="s">
        <v>368</v>
      </c>
      <c r="I96" t="s">
        <v>368</v>
      </c>
      <c r="J96">
        <v>2007</v>
      </c>
      <c r="K96" t="s">
        <v>369</v>
      </c>
      <c r="L96" t="s">
        <v>370</v>
      </c>
      <c r="M96" t="s">
        <v>371</v>
      </c>
      <c r="N96" t="s">
        <v>371</v>
      </c>
      <c r="O96" t="s">
        <v>371</v>
      </c>
      <c r="P96" t="s">
        <v>371</v>
      </c>
      <c r="Q96" t="s">
        <v>371</v>
      </c>
      <c r="R96" t="s">
        <v>372</v>
      </c>
      <c r="S96" t="s">
        <v>372</v>
      </c>
      <c r="T96" t="s">
        <v>367</v>
      </c>
      <c r="U96" t="s">
        <v>367</v>
      </c>
      <c r="W96" t="s">
        <v>367</v>
      </c>
      <c r="X96" t="s">
        <v>373</v>
      </c>
      <c r="Y96" t="s">
        <v>367</v>
      </c>
      <c r="Z96" t="s">
        <v>374</v>
      </c>
      <c r="AB96" s="73"/>
      <c r="AQ96" s="73"/>
      <c r="BG96" t="s">
        <v>371</v>
      </c>
      <c r="BH96" t="s">
        <v>371</v>
      </c>
      <c r="BI96" t="s">
        <v>371</v>
      </c>
      <c r="BJ96" t="s">
        <v>371</v>
      </c>
      <c r="BK96" t="s">
        <v>371</v>
      </c>
      <c r="BL96" t="s">
        <v>371</v>
      </c>
      <c r="BM96" t="s">
        <v>371</v>
      </c>
      <c r="BN96" t="s">
        <v>371</v>
      </c>
      <c r="BO96" t="s">
        <v>371</v>
      </c>
      <c r="BQ96" t="s">
        <v>375</v>
      </c>
      <c r="BR96" s="73"/>
      <c r="CX96" s="73"/>
      <c r="EQ96" s="73"/>
      <c r="FT96">
        <v>0</v>
      </c>
      <c r="FZ96" t="s">
        <v>371</v>
      </c>
      <c r="GA96" t="s">
        <v>371</v>
      </c>
      <c r="GB96" t="s">
        <v>371</v>
      </c>
      <c r="GC96" t="s">
        <v>371</v>
      </c>
      <c r="GD96" t="s">
        <v>371</v>
      </c>
      <c r="GF96" t="s">
        <v>371</v>
      </c>
      <c r="GG96" t="s">
        <v>371</v>
      </c>
      <c r="GH96" t="s">
        <v>371</v>
      </c>
      <c r="GI96" t="s">
        <v>371</v>
      </c>
      <c r="GJ96" t="s">
        <v>371</v>
      </c>
      <c r="GK96" t="s">
        <v>371</v>
      </c>
      <c r="GN96" t="s">
        <v>371</v>
      </c>
      <c r="GO96" t="s">
        <v>371</v>
      </c>
      <c r="GP96" t="s">
        <v>371</v>
      </c>
      <c r="GQ96" t="s">
        <v>371</v>
      </c>
      <c r="GR96" t="s">
        <v>371</v>
      </c>
      <c r="GS96" t="s">
        <v>371</v>
      </c>
      <c r="GT96" t="s">
        <v>371</v>
      </c>
      <c r="GU96" t="s">
        <v>371</v>
      </c>
      <c r="GV96" t="s">
        <v>371</v>
      </c>
      <c r="GW96" t="s">
        <v>371</v>
      </c>
      <c r="GX96" t="s">
        <v>371</v>
      </c>
      <c r="HA96" t="s">
        <v>375</v>
      </c>
    </row>
    <row r="97" spans="1:209" ht="14.25" customHeight="1" x14ac:dyDescent="0.25">
      <c r="A97" t="s">
        <v>468</v>
      </c>
      <c r="B97" t="s">
        <v>376</v>
      </c>
      <c r="C97">
        <v>1</v>
      </c>
      <c r="D97" t="s">
        <v>366</v>
      </c>
      <c r="E97" s="73"/>
      <c r="AA97" t="s">
        <v>377</v>
      </c>
      <c r="AB97" s="73">
        <v>46190</v>
      </c>
      <c r="AC97" t="s">
        <v>397</v>
      </c>
      <c r="AF97" t="s">
        <v>379</v>
      </c>
      <c r="AI97" t="s">
        <v>380</v>
      </c>
      <c r="AJ97">
        <v>0</v>
      </c>
      <c r="AK97" t="s">
        <v>372</v>
      </c>
      <c r="AP97" t="s">
        <v>374</v>
      </c>
      <c r="AQ97" s="73"/>
      <c r="BR97" s="73"/>
      <c r="CX97" s="73"/>
      <c r="EQ97" s="73"/>
    </row>
    <row r="98" spans="1:209" ht="14.25" customHeight="1" x14ac:dyDescent="0.25">
      <c r="A98" t="s">
        <v>468</v>
      </c>
      <c r="B98" t="s">
        <v>381</v>
      </c>
      <c r="C98">
        <v>1</v>
      </c>
      <c r="D98" t="s">
        <v>366</v>
      </c>
      <c r="E98" s="73"/>
      <c r="AB98" s="73"/>
      <c r="AQ98" s="73">
        <v>46190</v>
      </c>
      <c r="AR98" t="s">
        <v>394</v>
      </c>
      <c r="AU98" t="s">
        <v>383</v>
      </c>
      <c r="AV98" t="s">
        <v>383</v>
      </c>
      <c r="AW98" t="s">
        <v>383</v>
      </c>
      <c r="AX98" t="s">
        <v>384</v>
      </c>
      <c r="AY98" t="s">
        <v>384</v>
      </c>
      <c r="AZ98" t="s">
        <v>383</v>
      </c>
      <c r="BA98" t="s">
        <v>367</v>
      </c>
      <c r="BB98" t="s">
        <v>367</v>
      </c>
      <c r="BC98">
        <v>4</v>
      </c>
      <c r="BD98" t="s">
        <v>374</v>
      </c>
      <c r="BR98" s="73"/>
      <c r="CX98" s="73"/>
      <c r="EQ98" s="73"/>
    </row>
    <row r="99" spans="1:209" ht="14.25" customHeight="1" x14ac:dyDescent="0.25">
      <c r="A99" t="s">
        <v>469</v>
      </c>
      <c r="D99" t="s">
        <v>366</v>
      </c>
      <c r="E99" s="73">
        <v>46190</v>
      </c>
      <c r="F99" t="s">
        <v>367</v>
      </c>
      <c r="H99" t="s">
        <v>368</v>
      </c>
      <c r="I99" t="s">
        <v>368</v>
      </c>
      <c r="J99">
        <v>2004</v>
      </c>
      <c r="K99" t="s">
        <v>369</v>
      </c>
      <c r="L99" t="s">
        <v>370</v>
      </c>
      <c r="M99" t="s">
        <v>371</v>
      </c>
      <c r="N99" t="s">
        <v>371</v>
      </c>
      <c r="O99" t="s">
        <v>371</v>
      </c>
      <c r="P99" t="s">
        <v>371</v>
      </c>
      <c r="Q99" t="s">
        <v>371</v>
      </c>
      <c r="R99" t="s">
        <v>372</v>
      </c>
      <c r="S99" t="s">
        <v>372</v>
      </c>
      <c r="T99" t="s">
        <v>372</v>
      </c>
      <c r="U99" t="s">
        <v>367</v>
      </c>
      <c r="W99" t="s">
        <v>367</v>
      </c>
      <c r="X99" t="s">
        <v>373</v>
      </c>
      <c r="Y99" t="s">
        <v>367</v>
      </c>
      <c r="Z99" t="s">
        <v>374</v>
      </c>
      <c r="AB99" s="73"/>
      <c r="AQ99" s="73"/>
      <c r="BG99" t="s">
        <v>371</v>
      </c>
      <c r="BH99" t="s">
        <v>371</v>
      </c>
      <c r="BI99" t="s">
        <v>371</v>
      </c>
      <c r="BJ99" t="s">
        <v>371</v>
      </c>
      <c r="BK99" t="s">
        <v>371</v>
      </c>
      <c r="BL99" t="s">
        <v>371</v>
      </c>
      <c r="BM99" t="s">
        <v>371</v>
      </c>
      <c r="BN99" t="s">
        <v>371</v>
      </c>
      <c r="BO99" t="s">
        <v>371</v>
      </c>
      <c r="BQ99" t="s">
        <v>375</v>
      </c>
      <c r="BR99" s="73"/>
      <c r="CX99" s="73"/>
      <c r="EQ99" s="73"/>
      <c r="FT99">
        <v>0</v>
      </c>
      <c r="FZ99" t="s">
        <v>371</v>
      </c>
      <c r="GA99" t="s">
        <v>371</v>
      </c>
      <c r="GB99" t="s">
        <v>371</v>
      </c>
      <c r="GC99" t="s">
        <v>371</v>
      </c>
      <c r="GD99" t="s">
        <v>371</v>
      </c>
      <c r="GF99" t="s">
        <v>371</v>
      </c>
      <c r="GG99" t="s">
        <v>371</v>
      </c>
      <c r="GH99" t="s">
        <v>371</v>
      </c>
      <c r="GI99" t="s">
        <v>371</v>
      </c>
      <c r="GJ99" t="s">
        <v>371</v>
      </c>
      <c r="GK99" t="s">
        <v>371</v>
      </c>
      <c r="GN99" t="s">
        <v>371</v>
      </c>
      <c r="GO99" t="s">
        <v>371</v>
      </c>
      <c r="GP99" t="s">
        <v>371</v>
      </c>
      <c r="GQ99" t="s">
        <v>371</v>
      </c>
      <c r="GR99" t="s">
        <v>371</v>
      </c>
      <c r="GS99" t="s">
        <v>371</v>
      </c>
      <c r="GT99" t="s">
        <v>371</v>
      </c>
      <c r="GU99" t="s">
        <v>371</v>
      </c>
      <c r="GV99" t="s">
        <v>371</v>
      </c>
      <c r="GW99" t="s">
        <v>371</v>
      </c>
      <c r="GX99" t="s">
        <v>371</v>
      </c>
      <c r="HA99" t="s">
        <v>375</v>
      </c>
    </row>
    <row r="100" spans="1:209" ht="14.25" customHeight="1" x14ac:dyDescent="0.25">
      <c r="A100" t="s">
        <v>469</v>
      </c>
      <c r="B100" t="s">
        <v>376</v>
      </c>
      <c r="C100">
        <v>1</v>
      </c>
      <c r="D100" t="s">
        <v>366</v>
      </c>
      <c r="E100" s="73"/>
      <c r="AA100" t="s">
        <v>377</v>
      </c>
      <c r="AB100" s="73">
        <v>46190</v>
      </c>
      <c r="AC100" t="s">
        <v>397</v>
      </c>
      <c r="AF100" t="s">
        <v>379</v>
      </c>
      <c r="AI100" t="s">
        <v>380</v>
      </c>
      <c r="AJ100">
        <v>0</v>
      </c>
      <c r="AK100" t="s">
        <v>372</v>
      </c>
      <c r="AP100" t="s">
        <v>374</v>
      </c>
      <c r="AQ100" s="73"/>
      <c r="BR100" s="73"/>
      <c r="CX100" s="73"/>
      <c r="EQ100" s="73"/>
    </row>
    <row r="101" spans="1:209" ht="14.25" customHeight="1" x14ac:dyDescent="0.25">
      <c r="A101" t="s">
        <v>469</v>
      </c>
      <c r="B101" t="s">
        <v>381</v>
      </c>
      <c r="C101">
        <v>1</v>
      </c>
      <c r="D101" t="s">
        <v>366</v>
      </c>
      <c r="E101" s="73"/>
      <c r="AB101" s="73"/>
      <c r="AQ101" s="73">
        <v>46190</v>
      </c>
      <c r="AR101" t="s">
        <v>394</v>
      </c>
      <c r="AU101" t="s">
        <v>383</v>
      </c>
      <c r="AV101" t="s">
        <v>383</v>
      </c>
      <c r="AW101" t="s">
        <v>384</v>
      </c>
      <c r="AX101" t="s">
        <v>385</v>
      </c>
      <c r="AY101" t="s">
        <v>383</v>
      </c>
      <c r="AZ101" t="s">
        <v>384</v>
      </c>
      <c r="BA101" t="s">
        <v>367</v>
      </c>
      <c r="BB101" t="s">
        <v>367</v>
      </c>
      <c r="BC101">
        <v>5</v>
      </c>
      <c r="BD101" t="s">
        <v>374</v>
      </c>
      <c r="BR101" s="73"/>
      <c r="CX101" s="73"/>
      <c r="EQ101" s="73"/>
    </row>
    <row r="102" spans="1:209" ht="14.25" customHeight="1" x14ac:dyDescent="0.25">
      <c r="A102" t="s">
        <v>470</v>
      </c>
      <c r="D102" t="s">
        <v>366</v>
      </c>
      <c r="E102" s="73">
        <v>46190</v>
      </c>
      <c r="F102" t="s">
        <v>367</v>
      </c>
      <c r="H102" t="s">
        <v>368</v>
      </c>
      <c r="I102" t="s">
        <v>368</v>
      </c>
      <c r="J102">
        <v>1973</v>
      </c>
      <c r="K102" t="s">
        <v>369</v>
      </c>
      <c r="L102" t="s">
        <v>370</v>
      </c>
      <c r="M102" t="s">
        <v>371</v>
      </c>
      <c r="N102" t="s">
        <v>371</v>
      </c>
      <c r="O102" t="s">
        <v>371</v>
      </c>
      <c r="P102" t="s">
        <v>371</v>
      </c>
      <c r="Q102" t="s">
        <v>371</v>
      </c>
      <c r="R102" t="s">
        <v>372</v>
      </c>
      <c r="S102" t="s">
        <v>372</v>
      </c>
      <c r="T102" t="s">
        <v>372</v>
      </c>
      <c r="U102" t="s">
        <v>367</v>
      </c>
      <c r="W102" t="s">
        <v>367</v>
      </c>
      <c r="X102" t="s">
        <v>399</v>
      </c>
      <c r="Y102" t="s">
        <v>421</v>
      </c>
      <c r="Z102" t="s">
        <v>374</v>
      </c>
      <c r="AB102" s="73"/>
      <c r="AQ102" s="73"/>
      <c r="BG102" t="s">
        <v>371</v>
      </c>
      <c r="BH102" t="s">
        <v>371</v>
      </c>
      <c r="BI102" t="s">
        <v>371</v>
      </c>
      <c r="BJ102" t="s">
        <v>371</v>
      </c>
      <c r="BK102" t="s">
        <v>371</v>
      </c>
      <c r="BL102" t="s">
        <v>371</v>
      </c>
      <c r="BM102" t="s">
        <v>371</v>
      </c>
      <c r="BN102" t="s">
        <v>371</v>
      </c>
      <c r="BO102" t="s">
        <v>371</v>
      </c>
      <c r="BQ102" t="s">
        <v>375</v>
      </c>
      <c r="BR102" s="73"/>
      <c r="CX102" s="73"/>
      <c r="EQ102" s="73"/>
      <c r="FT102">
        <v>0</v>
      </c>
      <c r="FZ102" t="s">
        <v>371</v>
      </c>
      <c r="GA102" t="s">
        <v>371</v>
      </c>
      <c r="GB102" t="s">
        <v>371</v>
      </c>
      <c r="GC102" t="s">
        <v>371</v>
      </c>
      <c r="GD102" t="s">
        <v>371</v>
      </c>
      <c r="GF102" t="s">
        <v>371</v>
      </c>
      <c r="GG102" t="s">
        <v>371</v>
      </c>
      <c r="GH102" t="s">
        <v>371</v>
      </c>
      <c r="GI102" t="s">
        <v>371</v>
      </c>
      <c r="GJ102" t="s">
        <v>371</v>
      </c>
      <c r="GK102" t="s">
        <v>371</v>
      </c>
      <c r="GN102" t="s">
        <v>371</v>
      </c>
      <c r="GO102" t="s">
        <v>371</v>
      </c>
      <c r="GP102" t="s">
        <v>371</v>
      </c>
      <c r="GQ102" t="s">
        <v>371</v>
      </c>
      <c r="GR102" t="s">
        <v>371</v>
      </c>
      <c r="GS102" t="s">
        <v>371</v>
      </c>
      <c r="GT102" t="s">
        <v>371</v>
      </c>
      <c r="GU102" t="s">
        <v>371</v>
      </c>
      <c r="GV102" t="s">
        <v>371</v>
      </c>
      <c r="GW102" t="s">
        <v>371</v>
      </c>
      <c r="GX102" t="s">
        <v>371</v>
      </c>
      <c r="HA102" t="s">
        <v>375</v>
      </c>
    </row>
    <row r="103" spans="1:209" ht="14.25" customHeight="1" x14ac:dyDescent="0.25">
      <c r="A103" t="s">
        <v>470</v>
      </c>
      <c r="B103" t="s">
        <v>376</v>
      </c>
      <c r="C103">
        <v>1</v>
      </c>
      <c r="D103" t="s">
        <v>366</v>
      </c>
      <c r="E103" s="73"/>
      <c r="AA103" t="s">
        <v>377</v>
      </c>
      <c r="AB103" s="73">
        <v>46190</v>
      </c>
      <c r="AC103" t="s">
        <v>397</v>
      </c>
      <c r="AF103" t="s">
        <v>379</v>
      </c>
      <c r="AI103" t="s">
        <v>471</v>
      </c>
      <c r="AJ103">
        <v>0</v>
      </c>
      <c r="AK103" t="s">
        <v>372</v>
      </c>
      <c r="AP103" t="s">
        <v>374</v>
      </c>
      <c r="AQ103" s="73"/>
      <c r="BR103" s="73"/>
      <c r="CX103" s="73"/>
      <c r="EQ103" s="73"/>
    </row>
    <row r="104" spans="1:209" ht="14.25" customHeight="1" x14ac:dyDescent="0.25">
      <c r="A104" t="s">
        <v>470</v>
      </c>
      <c r="B104" t="s">
        <v>381</v>
      </c>
      <c r="C104">
        <v>1</v>
      </c>
      <c r="D104" t="s">
        <v>366</v>
      </c>
      <c r="E104" s="73"/>
      <c r="AB104" s="73"/>
      <c r="AQ104" s="73">
        <v>46190</v>
      </c>
      <c r="AR104" t="s">
        <v>397</v>
      </c>
      <c r="AU104" t="s">
        <v>384</v>
      </c>
      <c r="AV104" t="s">
        <v>383</v>
      </c>
      <c r="AW104" t="s">
        <v>383</v>
      </c>
      <c r="AX104" t="s">
        <v>383</v>
      </c>
      <c r="AY104" t="s">
        <v>383</v>
      </c>
      <c r="AZ104" t="s">
        <v>383</v>
      </c>
      <c r="BA104" t="s">
        <v>367</v>
      </c>
      <c r="BB104" t="s">
        <v>372</v>
      </c>
      <c r="BC104">
        <v>7</v>
      </c>
      <c r="BD104" t="s">
        <v>374</v>
      </c>
      <c r="BR104" s="73"/>
      <c r="CX104" s="73"/>
      <c r="EQ104" s="73"/>
    </row>
    <row r="105" spans="1:209" ht="14.25" customHeight="1" x14ac:dyDescent="0.25">
      <c r="A105" t="s">
        <v>472</v>
      </c>
      <c r="D105" t="s">
        <v>366</v>
      </c>
      <c r="E105" s="73">
        <v>46190</v>
      </c>
      <c r="F105" t="s">
        <v>367</v>
      </c>
      <c r="H105" t="s">
        <v>403</v>
      </c>
      <c r="I105" t="s">
        <v>403</v>
      </c>
      <c r="J105">
        <v>2007</v>
      </c>
      <c r="K105" t="s">
        <v>391</v>
      </c>
      <c r="L105" t="s">
        <v>370</v>
      </c>
      <c r="M105" t="s">
        <v>371</v>
      </c>
      <c r="N105" t="s">
        <v>371</v>
      </c>
      <c r="O105" t="s">
        <v>371</v>
      </c>
      <c r="P105" t="s">
        <v>371</v>
      </c>
      <c r="Q105" t="s">
        <v>371</v>
      </c>
      <c r="R105" t="s">
        <v>372</v>
      </c>
      <c r="S105" t="s">
        <v>372</v>
      </c>
      <c r="T105" t="s">
        <v>372</v>
      </c>
      <c r="U105" t="s">
        <v>367</v>
      </c>
      <c r="W105" t="s">
        <v>367</v>
      </c>
      <c r="X105" t="s">
        <v>392</v>
      </c>
      <c r="Y105" t="s">
        <v>396</v>
      </c>
      <c r="Z105" t="s">
        <v>374</v>
      </c>
      <c r="AB105" s="73"/>
      <c r="AQ105" s="73"/>
      <c r="BG105" t="s">
        <v>371</v>
      </c>
      <c r="BH105" t="s">
        <v>371</v>
      </c>
      <c r="BI105" t="s">
        <v>371</v>
      </c>
      <c r="BJ105" t="s">
        <v>371</v>
      </c>
      <c r="BK105" t="s">
        <v>371</v>
      </c>
      <c r="BL105" t="s">
        <v>371</v>
      </c>
      <c r="BM105" t="s">
        <v>371</v>
      </c>
      <c r="BN105" t="s">
        <v>371</v>
      </c>
      <c r="BO105" t="s">
        <v>371</v>
      </c>
      <c r="BQ105" t="s">
        <v>375</v>
      </c>
      <c r="BR105" s="73"/>
      <c r="CX105" s="73"/>
      <c r="EQ105" s="73"/>
      <c r="FT105">
        <v>0</v>
      </c>
      <c r="FZ105" t="s">
        <v>371</v>
      </c>
      <c r="GA105" t="s">
        <v>371</v>
      </c>
      <c r="GB105" t="s">
        <v>371</v>
      </c>
      <c r="GC105" t="s">
        <v>371</v>
      </c>
      <c r="GD105" t="s">
        <v>371</v>
      </c>
      <c r="GF105" t="s">
        <v>371</v>
      </c>
      <c r="GG105" t="s">
        <v>371</v>
      </c>
      <c r="GH105" t="s">
        <v>371</v>
      </c>
      <c r="GI105" t="s">
        <v>371</v>
      </c>
      <c r="GJ105" t="s">
        <v>371</v>
      </c>
      <c r="GK105" t="s">
        <v>371</v>
      </c>
      <c r="GN105" t="s">
        <v>371</v>
      </c>
      <c r="GO105" t="s">
        <v>371</v>
      </c>
      <c r="GP105" t="s">
        <v>371</v>
      </c>
      <c r="GQ105" t="s">
        <v>371</v>
      </c>
      <c r="GR105" t="s">
        <v>371</v>
      </c>
      <c r="GS105" t="s">
        <v>371</v>
      </c>
      <c r="GT105" t="s">
        <v>371</v>
      </c>
      <c r="GU105" t="s">
        <v>371</v>
      </c>
      <c r="GV105" t="s">
        <v>371</v>
      </c>
      <c r="GW105" t="s">
        <v>371</v>
      </c>
      <c r="GX105" t="s">
        <v>371</v>
      </c>
      <c r="HA105" t="s">
        <v>375</v>
      </c>
    </row>
    <row r="106" spans="1:209" ht="14.25" customHeight="1" x14ac:dyDescent="0.25">
      <c r="A106" t="s">
        <v>472</v>
      </c>
      <c r="B106" t="s">
        <v>376</v>
      </c>
      <c r="C106">
        <v>1</v>
      </c>
      <c r="D106" t="s">
        <v>366</v>
      </c>
      <c r="E106" s="73"/>
      <c r="AA106" t="s">
        <v>377</v>
      </c>
      <c r="AB106" s="73">
        <v>46190</v>
      </c>
      <c r="AC106" t="s">
        <v>397</v>
      </c>
      <c r="AF106" t="s">
        <v>379</v>
      </c>
      <c r="AI106" t="s">
        <v>380</v>
      </c>
      <c r="AJ106">
        <v>0</v>
      </c>
      <c r="AK106" t="s">
        <v>372</v>
      </c>
      <c r="AP106" t="s">
        <v>374</v>
      </c>
      <c r="AQ106" s="73"/>
      <c r="BR106" s="73"/>
      <c r="CX106" s="73"/>
      <c r="EQ106" s="73"/>
    </row>
    <row r="107" spans="1:209" ht="14.25" customHeight="1" x14ac:dyDescent="0.25">
      <c r="A107" t="s">
        <v>472</v>
      </c>
      <c r="B107" t="s">
        <v>381</v>
      </c>
      <c r="C107">
        <v>1</v>
      </c>
      <c r="D107" t="s">
        <v>366</v>
      </c>
      <c r="E107" s="73"/>
      <c r="AB107" s="73"/>
      <c r="AQ107" s="73">
        <v>46190</v>
      </c>
      <c r="AR107" t="s">
        <v>382</v>
      </c>
      <c r="AU107" t="s">
        <v>383</v>
      </c>
      <c r="AV107" t="s">
        <v>384</v>
      </c>
      <c r="AW107" t="s">
        <v>384</v>
      </c>
      <c r="AX107" t="s">
        <v>383</v>
      </c>
      <c r="AY107" t="s">
        <v>384</v>
      </c>
      <c r="AZ107" t="s">
        <v>383</v>
      </c>
      <c r="BA107" t="s">
        <v>367</v>
      </c>
      <c r="BB107" t="s">
        <v>367</v>
      </c>
      <c r="BC107">
        <v>3</v>
      </c>
      <c r="BD107" t="s">
        <v>374</v>
      </c>
      <c r="BR107" s="73"/>
      <c r="CX107" s="73"/>
      <c r="EQ107" s="73"/>
    </row>
    <row r="108" spans="1:209" ht="14.25" customHeight="1" x14ac:dyDescent="0.25">
      <c r="A108" t="s">
        <v>473</v>
      </c>
      <c r="D108" t="s">
        <v>366</v>
      </c>
      <c r="E108" s="73">
        <v>46190</v>
      </c>
      <c r="F108" t="s">
        <v>367</v>
      </c>
      <c r="H108" t="s">
        <v>368</v>
      </c>
      <c r="I108" t="s">
        <v>368</v>
      </c>
      <c r="J108">
        <v>2008</v>
      </c>
      <c r="K108" t="s">
        <v>391</v>
      </c>
      <c r="L108" t="s">
        <v>370</v>
      </c>
      <c r="M108" t="s">
        <v>371</v>
      </c>
      <c r="N108" t="s">
        <v>371</v>
      </c>
      <c r="O108" t="s">
        <v>371</v>
      </c>
      <c r="P108" t="s">
        <v>371</v>
      </c>
      <c r="Q108" t="s">
        <v>371</v>
      </c>
      <c r="R108" t="s">
        <v>372</v>
      </c>
      <c r="S108" t="s">
        <v>372</v>
      </c>
      <c r="T108" t="s">
        <v>367</v>
      </c>
      <c r="U108" t="s">
        <v>367</v>
      </c>
      <c r="W108" t="s">
        <v>367</v>
      </c>
      <c r="X108" t="s">
        <v>392</v>
      </c>
      <c r="Y108" t="s">
        <v>396</v>
      </c>
      <c r="Z108" t="s">
        <v>374</v>
      </c>
      <c r="AB108" s="73"/>
      <c r="AQ108" s="73"/>
      <c r="BG108" t="s">
        <v>371</v>
      </c>
      <c r="BH108" t="s">
        <v>371</v>
      </c>
      <c r="BI108" t="s">
        <v>371</v>
      </c>
      <c r="BJ108" t="s">
        <v>371</v>
      </c>
      <c r="BK108" t="s">
        <v>371</v>
      </c>
      <c r="BL108" t="s">
        <v>371</v>
      </c>
      <c r="BM108" t="s">
        <v>371</v>
      </c>
      <c r="BN108" t="s">
        <v>371</v>
      </c>
      <c r="BO108" t="s">
        <v>371</v>
      </c>
      <c r="BQ108" t="s">
        <v>375</v>
      </c>
      <c r="BR108" s="73"/>
      <c r="CX108" s="73"/>
      <c r="EQ108" s="73"/>
      <c r="FT108">
        <v>0</v>
      </c>
      <c r="FZ108" t="s">
        <v>371</v>
      </c>
      <c r="GA108" t="s">
        <v>371</v>
      </c>
      <c r="GB108" t="s">
        <v>371</v>
      </c>
      <c r="GC108" t="s">
        <v>371</v>
      </c>
      <c r="GD108" t="s">
        <v>371</v>
      </c>
      <c r="GF108" t="s">
        <v>371</v>
      </c>
      <c r="GG108" t="s">
        <v>371</v>
      </c>
      <c r="GH108" t="s">
        <v>371</v>
      </c>
      <c r="GI108" t="s">
        <v>371</v>
      </c>
      <c r="GJ108" t="s">
        <v>371</v>
      </c>
      <c r="GK108" t="s">
        <v>371</v>
      </c>
      <c r="GN108" t="s">
        <v>371</v>
      </c>
      <c r="GO108" t="s">
        <v>371</v>
      </c>
      <c r="GP108" t="s">
        <v>371</v>
      </c>
      <c r="GQ108" t="s">
        <v>371</v>
      </c>
      <c r="GR108" t="s">
        <v>371</v>
      </c>
      <c r="GS108" t="s">
        <v>371</v>
      </c>
      <c r="GT108" t="s">
        <v>371</v>
      </c>
      <c r="GU108" t="s">
        <v>371</v>
      </c>
      <c r="GV108" t="s">
        <v>371</v>
      </c>
      <c r="GW108" t="s">
        <v>371</v>
      </c>
      <c r="GX108" t="s">
        <v>371</v>
      </c>
      <c r="HA108" t="s">
        <v>375</v>
      </c>
    </row>
    <row r="109" spans="1:209" ht="14.25" customHeight="1" x14ac:dyDescent="0.25">
      <c r="A109" t="s">
        <v>473</v>
      </c>
      <c r="B109" t="s">
        <v>376</v>
      </c>
      <c r="C109">
        <v>1</v>
      </c>
      <c r="D109" t="s">
        <v>366</v>
      </c>
      <c r="E109" s="73"/>
      <c r="AA109" t="s">
        <v>377</v>
      </c>
      <c r="AB109" s="73">
        <v>46190</v>
      </c>
      <c r="AC109" t="s">
        <v>397</v>
      </c>
      <c r="AF109" t="s">
        <v>379</v>
      </c>
      <c r="AI109" t="s">
        <v>380</v>
      </c>
      <c r="AJ109">
        <v>0</v>
      </c>
      <c r="AK109" t="s">
        <v>372</v>
      </c>
      <c r="AP109" t="s">
        <v>374</v>
      </c>
      <c r="AQ109" s="73"/>
      <c r="BR109" s="73"/>
      <c r="CX109" s="73"/>
      <c r="EQ109" s="73"/>
    </row>
    <row r="110" spans="1:209" ht="14.25" customHeight="1" x14ac:dyDescent="0.25">
      <c r="A110" t="s">
        <v>473</v>
      </c>
      <c r="B110" t="s">
        <v>381</v>
      </c>
      <c r="C110">
        <v>1</v>
      </c>
      <c r="D110" t="s">
        <v>366</v>
      </c>
      <c r="E110" s="73"/>
      <c r="AB110" s="73"/>
      <c r="AQ110" s="73">
        <v>46190</v>
      </c>
      <c r="AR110" t="s">
        <v>382</v>
      </c>
      <c r="AU110" t="s">
        <v>383</v>
      </c>
      <c r="AV110" t="s">
        <v>383</v>
      </c>
      <c r="AW110" t="s">
        <v>384</v>
      </c>
      <c r="AX110" t="s">
        <v>383</v>
      </c>
      <c r="AY110" t="s">
        <v>384</v>
      </c>
      <c r="AZ110" t="s">
        <v>384</v>
      </c>
      <c r="BA110" t="s">
        <v>367</v>
      </c>
      <c r="BB110" t="s">
        <v>367</v>
      </c>
      <c r="BC110">
        <v>3</v>
      </c>
      <c r="BD110" t="s">
        <v>374</v>
      </c>
      <c r="BR110" s="73"/>
      <c r="CX110" s="73"/>
      <c r="EQ110" s="73"/>
    </row>
    <row r="111" spans="1:209" ht="14.25" customHeight="1" x14ac:dyDescent="0.25">
      <c r="A111" t="s">
        <v>474</v>
      </c>
      <c r="D111" t="s">
        <v>366</v>
      </c>
      <c r="E111" s="73">
        <v>46190</v>
      </c>
      <c r="F111" t="s">
        <v>367</v>
      </c>
      <c r="H111" t="s">
        <v>403</v>
      </c>
      <c r="I111" t="s">
        <v>403</v>
      </c>
      <c r="J111">
        <v>1997</v>
      </c>
      <c r="K111" t="s">
        <v>369</v>
      </c>
      <c r="L111" t="s">
        <v>371</v>
      </c>
      <c r="M111" t="s">
        <v>371</v>
      </c>
      <c r="N111" t="s">
        <v>371</v>
      </c>
      <c r="O111" t="s">
        <v>371</v>
      </c>
      <c r="P111" t="s">
        <v>371</v>
      </c>
      <c r="Q111" t="s">
        <v>370</v>
      </c>
      <c r="R111" t="s">
        <v>372</v>
      </c>
      <c r="S111" t="s">
        <v>372</v>
      </c>
      <c r="T111" t="s">
        <v>367</v>
      </c>
      <c r="U111" t="s">
        <v>372</v>
      </c>
      <c r="V111" t="s">
        <v>367</v>
      </c>
      <c r="W111" t="s">
        <v>372</v>
      </c>
      <c r="X111" t="s">
        <v>373</v>
      </c>
      <c r="Y111" t="s">
        <v>421</v>
      </c>
      <c r="Z111" t="s">
        <v>374</v>
      </c>
      <c r="AB111" s="73"/>
      <c r="AQ111" s="73"/>
      <c r="BG111" t="s">
        <v>371</v>
      </c>
      <c r="BH111" t="s">
        <v>371</v>
      </c>
      <c r="BI111" t="s">
        <v>371</v>
      </c>
      <c r="BJ111" t="s">
        <v>371</v>
      </c>
      <c r="BK111" t="s">
        <v>371</v>
      </c>
      <c r="BL111" t="s">
        <v>371</v>
      </c>
      <c r="BM111" t="s">
        <v>371</v>
      </c>
      <c r="BN111" t="s">
        <v>371</v>
      </c>
      <c r="BO111" t="s">
        <v>371</v>
      </c>
      <c r="BQ111" t="s">
        <v>375</v>
      </c>
      <c r="BR111" s="73"/>
      <c r="CX111" s="73"/>
      <c r="EQ111" s="73"/>
      <c r="FT111">
        <v>0</v>
      </c>
      <c r="FZ111" t="s">
        <v>371</v>
      </c>
      <c r="GA111" t="s">
        <v>371</v>
      </c>
      <c r="GB111" t="s">
        <v>371</v>
      </c>
      <c r="GC111" t="s">
        <v>371</v>
      </c>
      <c r="GD111" t="s">
        <v>371</v>
      </c>
      <c r="GF111" t="s">
        <v>371</v>
      </c>
      <c r="GG111" t="s">
        <v>371</v>
      </c>
      <c r="GH111" t="s">
        <v>371</v>
      </c>
      <c r="GI111" t="s">
        <v>371</v>
      </c>
      <c r="GJ111" t="s">
        <v>371</v>
      </c>
      <c r="GK111" t="s">
        <v>371</v>
      </c>
      <c r="GN111" t="s">
        <v>371</v>
      </c>
      <c r="GO111" t="s">
        <v>371</v>
      </c>
      <c r="GP111" t="s">
        <v>371</v>
      </c>
      <c r="GQ111" t="s">
        <v>371</v>
      </c>
      <c r="GR111" t="s">
        <v>371</v>
      </c>
      <c r="GS111" t="s">
        <v>371</v>
      </c>
      <c r="GT111" t="s">
        <v>371</v>
      </c>
      <c r="GU111" t="s">
        <v>371</v>
      </c>
      <c r="GV111" t="s">
        <v>371</v>
      </c>
      <c r="GW111" t="s">
        <v>371</v>
      </c>
      <c r="GX111" t="s">
        <v>371</v>
      </c>
      <c r="HA111" t="s">
        <v>375</v>
      </c>
    </row>
    <row r="112" spans="1:209" ht="14.25" customHeight="1" x14ac:dyDescent="0.25">
      <c r="A112" t="s">
        <v>474</v>
      </c>
      <c r="B112" t="s">
        <v>376</v>
      </c>
      <c r="C112">
        <v>1</v>
      </c>
      <c r="D112" t="s">
        <v>366</v>
      </c>
      <c r="E112" s="73"/>
      <c r="AA112" t="s">
        <v>377</v>
      </c>
      <c r="AB112" s="73">
        <v>46190</v>
      </c>
      <c r="AC112" t="s">
        <v>397</v>
      </c>
      <c r="AF112" t="s">
        <v>379</v>
      </c>
      <c r="AI112" t="s">
        <v>380</v>
      </c>
      <c r="AJ112">
        <v>0</v>
      </c>
      <c r="AK112" t="s">
        <v>372</v>
      </c>
      <c r="AP112" t="s">
        <v>374</v>
      </c>
      <c r="AQ112" s="73"/>
      <c r="BR112" s="73"/>
      <c r="CX112" s="73"/>
      <c r="EQ112" s="73"/>
    </row>
    <row r="113" spans="1:209" ht="14.25" customHeight="1" x14ac:dyDescent="0.25">
      <c r="A113" t="s">
        <v>474</v>
      </c>
      <c r="B113" t="s">
        <v>381</v>
      </c>
      <c r="C113">
        <v>1</v>
      </c>
      <c r="D113" t="s">
        <v>366</v>
      </c>
      <c r="E113" s="73"/>
      <c r="AB113" s="73"/>
      <c r="AQ113" s="73">
        <v>46190</v>
      </c>
      <c r="AR113" t="s">
        <v>382</v>
      </c>
      <c r="AU113" t="s">
        <v>383</v>
      </c>
      <c r="AV113" t="s">
        <v>383</v>
      </c>
      <c r="AW113" t="s">
        <v>383</v>
      </c>
      <c r="AX113" t="s">
        <v>383</v>
      </c>
      <c r="AY113" t="s">
        <v>383</v>
      </c>
      <c r="AZ113" t="s">
        <v>384</v>
      </c>
      <c r="BA113" t="s">
        <v>367</v>
      </c>
      <c r="BB113" t="s">
        <v>367</v>
      </c>
      <c r="BC113">
        <v>5</v>
      </c>
      <c r="BD113" t="s">
        <v>374</v>
      </c>
      <c r="BR113" s="73"/>
      <c r="CX113" s="73"/>
      <c r="EQ113" s="73"/>
    </row>
    <row r="114" spans="1:209" ht="14.25" customHeight="1" x14ac:dyDescent="0.25">
      <c r="A114" t="s">
        <v>475</v>
      </c>
      <c r="D114" t="s">
        <v>366</v>
      </c>
      <c r="E114" s="73">
        <v>46190</v>
      </c>
      <c r="F114" t="s">
        <v>367</v>
      </c>
      <c r="H114" t="s">
        <v>403</v>
      </c>
      <c r="I114" t="s">
        <v>403</v>
      </c>
      <c r="J114">
        <v>1977</v>
      </c>
      <c r="K114" t="s">
        <v>369</v>
      </c>
      <c r="L114" t="s">
        <v>370</v>
      </c>
      <c r="M114" t="s">
        <v>371</v>
      </c>
      <c r="N114" t="s">
        <v>371</v>
      </c>
      <c r="O114" t="s">
        <v>371</v>
      </c>
      <c r="P114" t="s">
        <v>371</v>
      </c>
      <c r="Q114" t="s">
        <v>371</v>
      </c>
      <c r="R114" t="s">
        <v>372</v>
      </c>
      <c r="S114" t="s">
        <v>372</v>
      </c>
      <c r="T114" t="s">
        <v>367</v>
      </c>
      <c r="U114" t="s">
        <v>367</v>
      </c>
      <c r="W114" t="s">
        <v>372</v>
      </c>
      <c r="X114" t="s">
        <v>399</v>
      </c>
      <c r="Y114" t="s">
        <v>421</v>
      </c>
      <c r="Z114" t="s">
        <v>374</v>
      </c>
      <c r="AB114" s="73"/>
      <c r="AQ114" s="73"/>
      <c r="BG114" t="s">
        <v>371</v>
      </c>
      <c r="BH114" t="s">
        <v>371</v>
      </c>
      <c r="BI114" t="s">
        <v>371</v>
      </c>
      <c r="BJ114" t="s">
        <v>371</v>
      </c>
      <c r="BK114" t="s">
        <v>371</v>
      </c>
      <c r="BL114" t="s">
        <v>371</v>
      </c>
      <c r="BM114" t="s">
        <v>371</v>
      </c>
      <c r="BN114" t="s">
        <v>371</v>
      </c>
      <c r="BO114" t="s">
        <v>371</v>
      </c>
      <c r="BQ114" t="s">
        <v>375</v>
      </c>
      <c r="BR114" s="73"/>
      <c r="CX114" s="73"/>
      <c r="EQ114" s="73"/>
      <c r="FT114">
        <v>0</v>
      </c>
      <c r="FZ114" t="s">
        <v>371</v>
      </c>
      <c r="GA114" t="s">
        <v>371</v>
      </c>
      <c r="GB114" t="s">
        <v>371</v>
      </c>
      <c r="GC114" t="s">
        <v>371</v>
      </c>
      <c r="GD114" t="s">
        <v>371</v>
      </c>
      <c r="GF114" t="s">
        <v>371</v>
      </c>
      <c r="GG114" t="s">
        <v>371</v>
      </c>
      <c r="GH114" t="s">
        <v>371</v>
      </c>
      <c r="GI114" t="s">
        <v>371</v>
      </c>
      <c r="GJ114" t="s">
        <v>371</v>
      </c>
      <c r="GK114" t="s">
        <v>371</v>
      </c>
      <c r="GN114" t="s">
        <v>371</v>
      </c>
      <c r="GO114" t="s">
        <v>371</v>
      </c>
      <c r="GP114" t="s">
        <v>371</v>
      </c>
      <c r="GQ114" t="s">
        <v>371</v>
      </c>
      <c r="GR114" t="s">
        <v>371</v>
      </c>
      <c r="GS114" t="s">
        <v>371</v>
      </c>
      <c r="GT114" t="s">
        <v>371</v>
      </c>
      <c r="GU114" t="s">
        <v>371</v>
      </c>
      <c r="GV114" t="s">
        <v>371</v>
      </c>
      <c r="GW114" t="s">
        <v>371</v>
      </c>
      <c r="GX114" t="s">
        <v>371</v>
      </c>
      <c r="HA114" t="s">
        <v>375</v>
      </c>
    </row>
    <row r="115" spans="1:209" ht="14.25" customHeight="1" x14ac:dyDescent="0.25">
      <c r="A115" t="s">
        <v>475</v>
      </c>
      <c r="B115" t="s">
        <v>376</v>
      </c>
      <c r="C115">
        <v>1</v>
      </c>
      <c r="D115" t="s">
        <v>366</v>
      </c>
      <c r="E115" s="73"/>
      <c r="AA115" t="s">
        <v>377</v>
      </c>
      <c r="AB115" s="73">
        <v>46190</v>
      </c>
      <c r="AC115" t="s">
        <v>397</v>
      </c>
      <c r="AF115" t="s">
        <v>379</v>
      </c>
      <c r="AI115" t="s">
        <v>433</v>
      </c>
      <c r="AJ115">
        <v>0</v>
      </c>
      <c r="AK115" t="s">
        <v>372</v>
      </c>
      <c r="AP115" t="s">
        <v>374</v>
      </c>
      <c r="AQ115" s="73"/>
      <c r="BR115" s="73"/>
      <c r="CX115" s="73"/>
      <c r="EQ115" s="73"/>
    </row>
    <row r="116" spans="1:209" ht="14.25" customHeight="1" x14ac:dyDescent="0.25">
      <c r="A116" t="s">
        <v>475</v>
      </c>
      <c r="B116" t="s">
        <v>381</v>
      </c>
      <c r="C116">
        <v>1</v>
      </c>
      <c r="D116" t="s">
        <v>366</v>
      </c>
      <c r="E116" s="73"/>
      <c r="AB116" s="73"/>
      <c r="AQ116" s="73">
        <v>46190</v>
      </c>
      <c r="AR116" t="s">
        <v>378</v>
      </c>
      <c r="AU116" t="s">
        <v>384</v>
      </c>
      <c r="AV116" t="s">
        <v>383</v>
      </c>
      <c r="AW116" t="s">
        <v>384</v>
      </c>
      <c r="AX116" t="s">
        <v>385</v>
      </c>
      <c r="AY116" t="s">
        <v>385</v>
      </c>
      <c r="AZ116" t="s">
        <v>383</v>
      </c>
      <c r="BA116" t="s">
        <v>367</v>
      </c>
      <c r="BB116" t="s">
        <v>367</v>
      </c>
      <c r="BC116">
        <v>6</v>
      </c>
      <c r="BD116" t="s">
        <v>374</v>
      </c>
      <c r="BR116" s="73"/>
      <c r="CX116" s="73"/>
      <c r="EQ116" s="73"/>
    </row>
    <row r="117" spans="1:209" ht="14.25" customHeight="1" x14ac:dyDescent="0.25">
      <c r="A117" t="s">
        <v>476</v>
      </c>
      <c r="D117" t="s">
        <v>366</v>
      </c>
      <c r="E117" s="73">
        <v>46190</v>
      </c>
      <c r="F117" t="s">
        <v>372</v>
      </c>
      <c r="G117" t="s">
        <v>477</v>
      </c>
      <c r="H117" t="s">
        <v>403</v>
      </c>
      <c r="I117" t="s">
        <v>403</v>
      </c>
      <c r="J117">
        <v>1991</v>
      </c>
      <c r="K117" t="s">
        <v>448</v>
      </c>
      <c r="L117" t="s">
        <v>371</v>
      </c>
      <c r="M117" t="s">
        <v>370</v>
      </c>
      <c r="N117" t="s">
        <v>371</v>
      </c>
      <c r="O117" t="s">
        <v>371</v>
      </c>
      <c r="P117" t="s">
        <v>371</v>
      </c>
      <c r="Q117" t="s">
        <v>371</v>
      </c>
      <c r="R117" t="s">
        <v>372</v>
      </c>
      <c r="S117" t="s">
        <v>372</v>
      </c>
      <c r="T117" t="s">
        <v>372</v>
      </c>
      <c r="U117" t="s">
        <v>367</v>
      </c>
      <c r="W117" t="s">
        <v>367</v>
      </c>
      <c r="X117" t="s">
        <v>373</v>
      </c>
      <c r="Y117" t="s">
        <v>367</v>
      </c>
      <c r="Z117" t="s">
        <v>374</v>
      </c>
      <c r="AB117" s="73"/>
      <c r="AQ117" s="73"/>
      <c r="BG117" t="s">
        <v>371</v>
      </c>
      <c r="BH117" t="s">
        <v>371</v>
      </c>
      <c r="BI117" t="s">
        <v>371</v>
      </c>
      <c r="BJ117" t="s">
        <v>371</v>
      </c>
      <c r="BK117" t="s">
        <v>371</v>
      </c>
      <c r="BL117" t="s">
        <v>371</v>
      </c>
      <c r="BM117" t="s">
        <v>371</v>
      </c>
      <c r="BN117" t="s">
        <v>371</v>
      </c>
      <c r="BO117" t="s">
        <v>371</v>
      </c>
      <c r="BQ117" t="s">
        <v>375</v>
      </c>
      <c r="BR117" s="73"/>
      <c r="CX117" s="73"/>
      <c r="EQ117" s="73"/>
      <c r="FT117">
        <v>0</v>
      </c>
      <c r="FZ117" t="s">
        <v>371</v>
      </c>
      <c r="GA117" t="s">
        <v>371</v>
      </c>
      <c r="GB117" t="s">
        <v>371</v>
      </c>
      <c r="GC117" t="s">
        <v>371</v>
      </c>
      <c r="GD117" t="s">
        <v>371</v>
      </c>
      <c r="GF117" t="s">
        <v>371</v>
      </c>
      <c r="GG117" t="s">
        <v>371</v>
      </c>
      <c r="GH117" t="s">
        <v>371</v>
      </c>
      <c r="GI117" t="s">
        <v>371</v>
      </c>
      <c r="GJ117" t="s">
        <v>371</v>
      </c>
      <c r="GK117" t="s">
        <v>371</v>
      </c>
      <c r="GN117" t="s">
        <v>371</v>
      </c>
      <c r="GO117" t="s">
        <v>371</v>
      </c>
      <c r="GP117" t="s">
        <v>371</v>
      </c>
      <c r="GQ117" t="s">
        <v>371</v>
      </c>
      <c r="GR117" t="s">
        <v>371</v>
      </c>
      <c r="GS117" t="s">
        <v>371</v>
      </c>
      <c r="GT117" t="s">
        <v>371</v>
      </c>
      <c r="GU117" t="s">
        <v>371</v>
      </c>
      <c r="GV117" t="s">
        <v>371</v>
      </c>
      <c r="GW117" t="s">
        <v>371</v>
      </c>
      <c r="GX117" t="s">
        <v>371</v>
      </c>
      <c r="HA117" t="s">
        <v>375</v>
      </c>
    </row>
    <row r="118" spans="1:209" ht="14.25" customHeight="1" x14ac:dyDescent="0.25">
      <c r="A118" t="s">
        <v>476</v>
      </c>
      <c r="B118" t="s">
        <v>376</v>
      </c>
      <c r="C118">
        <v>1</v>
      </c>
      <c r="D118" t="s">
        <v>366</v>
      </c>
      <c r="E118" s="73"/>
      <c r="AA118" t="s">
        <v>377</v>
      </c>
      <c r="AB118" s="73">
        <v>46190</v>
      </c>
      <c r="AC118" t="s">
        <v>397</v>
      </c>
      <c r="AF118" t="s">
        <v>379</v>
      </c>
      <c r="AI118" t="s">
        <v>433</v>
      </c>
      <c r="AJ118">
        <v>0</v>
      </c>
      <c r="AK118" t="s">
        <v>372</v>
      </c>
      <c r="AP118" t="s">
        <v>374</v>
      </c>
      <c r="AQ118" s="73"/>
      <c r="BR118" s="73"/>
      <c r="CX118" s="73"/>
      <c r="EQ118" s="73"/>
    </row>
    <row r="119" spans="1:209" ht="14.25" customHeight="1" x14ac:dyDescent="0.25">
      <c r="A119" t="s">
        <v>476</v>
      </c>
      <c r="B119" t="s">
        <v>381</v>
      </c>
      <c r="C119">
        <v>1</v>
      </c>
      <c r="D119" t="s">
        <v>366</v>
      </c>
      <c r="E119" s="73"/>
      <c r="AB119" s="73"/>
      <c r="AQ119" s="73">
        <v>46190</v>
      </c>
      <c r="AR119" t="s">
        <v>394</v>
      </c>
      <c r="AU119" t="s">
        <v>383</v>
      </c>
      <c r="AV119" t="s">
        <v>384</v>
      </c>
      <c r="AW119" t="s">
        <v>384</v>
      </c>
      <c r="AX119" t="s">
        <v>383</v>
      </c>
      <c r="AY119" t="s">
        <v>383</v>
      </c>
      <c r="AZ119" t="s">
        <v>384</v>
      </c>
      <c r="BA119" t="s">
        <v>367</v>
      </c>
      <c r="BB119" t="s">
        <v>372</v>
      </c>
      <c r="BC119">
        <v>5</v>
      </c>
      <c r="BD119" t="s">
        <v>374</v>
      </c>
      <c r="BR119" s="73"/>
      <c r="CX119" s="73"/>
      <c r="EQ119" s="73"/>
    </row>
    <row r="120" spans="1:209" ht="14.25" customHeight="1" x14ac:dyDescent="0.25">
      <c r="A120" t="s">
        <v>478</v>
      </c>
      <c r="D120" t="s">
        <v>366</v>
      </c>
      <c r="E120" s="73">
        <v>46190</v>
      </c>
      <c r="F120" t="s">
        <v>367</v>
      </c>
      <c r="H120" t="s">
        <v>368</v>
      </c>
      <c r="I120" t="s">
        <v>368</v>
      </c>
      <c r="J120">
        <v>1973</v>
      </c>
      <c r="K120" t="s">
        <v>369</v>
      </c>
      <c r="L120" t="s">
        <v>370</v>
      </c>
      <c r="M120" t="s">
        <v>371</v>
      </c>
      <c r="N120" t="s">
        <v>371</v>
      </c>
      <c r="O120" t="s">
        <v>371</v>
      </c>
      <c r="P120" t="s">
        <v>371</v>
      </c>
      <c r="Q120" t="s">
        <v>371</v>
      </c>
      <c r="R120" t="s">
        <v>372</v>
      </c>
      <c r="S120" t="s">
        <v>367</v>
      </c>
      <c r="T120" t="s">
        <v>372</v>
      </c>
      <c r="U120" t="s">
        <v>367</v>
      </c>
      <c r="W120" t="s">
        <v>367</v>
      </c>
      <c r="X120" t="s">
        <v>432</v>
      </c>
      <c r="Y120" t="s">
        <v>396</v>
      </c>
      <c r="Z120" t="s">
        <v>374</v>
      </c>
      <c r="AB120" s="73"/>
      <c r="AQ120" s="73"/>
      <c r="BG120" t="s">
        <v>371</v>
      </c>
      <c r="BH120" t="s">
        <v>371</v>
      </c>
      <c r="BI120" t="s">
        <v>371</v>
      </c>
      <c r="BJ120" t="s">
        <v>371</v>
      </c>
      <c r="BK120" t="s">
        <v>371</v>
      </c>
      <c r="BL120" t="s">
        <v>371</v>
      </c>
      <c r="BM120" t="s">
        <v>371</v>
      </c>
      <c r="BN120" t="s">
        <v>371</v>
      </c>
      <c r="BO120" t="s">
        <v>371</v>
      </c>
      <c r="BQ120" t="s">
        <v>375</v>
      </c>
      <c r="BR120" s="73"/>
      <c r="CX120" s="73"/>
      <c r="EQ120" s="73"/>
      <c r="FT120">
        <v>0</v>
      </c>
      <c r="FZ120" t="s">
        <v>371</v>
      </c>
      <c r="GA120" t="s">
        <v>371</v>
      </c>
      <c r="GB120" t="s">
        <v>371</v>
      </c>
      <c r="GC120" t="s">
        <v>371</v>
      </c>
      <c r="GD120" t="s">
        <v>371</v>
      </c>
      <c r="GF120" t="s">
        <v>371</v>
      </c>
      <c r="GG120" t="s">
        <v>371</v>
      </c>
      <c r="GH120" t="s">
        <v>371</v>
      </c>
      <c r="GI120" t="s">
        <v>371</v>
      </c>
      <c r="GJ120" t="s">
        <v>371</v>
      </c>
      <c r="GK120" t="s">
        <v>371</v>
      </c>
      <c r="GN120" t="s">
        <v>371</v>
      </c>
      <c r="GO120" t="s">
        <v>371</v>
      </c>
      <c r="GP120" t="s">
        <v>371</v>
      </c>
      <c r="GQ120" t="s">
        <v>371</v>
      </c>
      <c r="GR120" t="s">
        <v>371</v>
      </c>
      <c r="GS120" t="s">
        <v>371</v>
      </c>
      <c r="GT120" t="s">
        <v>371</v>
      </c>
      <c r="GU120" t="s">
        <v>371</v>
      </c>
      <c r="GV120" t="s">
        <v>371</v>
      </c>
      <c r="GW120" t="s">
        <v>371</v>
      </c>
      <c r="GX120" t="s">
        <v>371</v>
      </c>
      <c r="HA120" t="s">
        <v>375</v>
      </c>
    </row>
    <row r="121" spans="1:209" ht="14.25" customHeight="1" x14ac:dyDescent="0.25">
      <c r="A121" t="s">
        <v>478</v>
      </c>
      <c r="B121" t="s">
        <v>376</v>
      </c>
      <c r="C121">
        <v>1</v>
      </c>
      <c r="D121" t="s">
        <v>366</v>
      </c>
      <c r="E121" s="73"/>
      <c r="AA121" t="s">
        <v>377</v>
      </c>
      <c r="AB121" s="73">
        <v>46190</v>
      </c>
      <c r="AC121" t="s">
        <v>397</v>
      </c>
      <c r="AF121" t="s">
        <v>379</v>
      </c>
      <c r="AI121" t="s">
        <v>433</v>
      </c>
      <c r="AJ121">
        <v>0</v>
      </c>
      <c r="AK121" t="s">
        <v>372</v>
      </c>
      <c r="AP121" t="s">
        <v>374</v>
      </c>
      <c r="AQ121" s="73"/>
      <c r="BR121" s="73"/>
      <c r="CX121" s="73"/>
      <c r="EQ121" s="73"/>
    </row>
    <row r="122" spans="1:209" ht="14.25" customHeight="1" x14ac:dyDescent="0.25">
      <c r="A122" t="s">
        <v>478</v>
      </c>
      <c r="B122" t="s">
        <v>381</v>
      </c>
      <c r="C122">
        <v>1</v>
      </c>
      <c r="D122" t="s">
        <v>366</v>
      </c>
      <c r="E122" s="73"/>
      <c r="AB122" s="73"/>
      <c r="AQ122" s="73">
        <v>46190</v>
      </c>
      <c r="AR122" t="s">
        <v>378</v>
      </c>
      <c r="AU122" t="s">
        <v>385</v>
      </c>
      <c r="AV122" t="s">
        <v>385</v>
      </c>
      <c r="AW122" t="s">
        <v>384</v>
      </c>
      <c r="AX122" t="s">
        <v>404</v>
      </c>
      <c r="AY122" t="s">
        <v>385</v>
      </c>
      <c r="AZ122" t="s">
        <v>383</v>
      </c>
      <c r="BA122" t="s">
        <v>367</v>
      </c>
      <c r="BB122" t="s">
        <v>372</v>
      </c>
      <c r="BC122">
        <v>12</v>
      </c>
      <c r="BD122" t="s">
        <v>374</v>
      </c>
      <c r="BR122" s="73"/>
      <c r="CX122" s="73"/>
      <c r="EQ122" s="73"/>
    </row>
    <row r="123" spans="1:209" ht="14.25" customHeight="1" x14ac:dyDescent="0.25">
      <c r="A123" t="s">
        <v>478</v>
      </c>
      <c r="B123" t="s">
        <v>410</v>
      </c>
      <c r="C123">
        <v>1</v>
      </c>
      <c r="D123" t="s">
        <v>366</v>
      </c>
      <c r="E123" s="73"/>
      <c r="AB123" s="73"/>
      <c r="AQ123" s="73"/>
      <c r="BR123" s="73"/>
      <c r="CX123" s="73">
        <v>46191</v>
      </c>
      <c r="CY123" t="s">
        <v>411</v>
      </c>
      <c r="CZ123" t="s">
        <v>412</v>
      </c>
      <c r="DA123" t="s">
        <v>413</v>
      </c>
      <c r="DC123" t="s">
        <v>414</v>
      </c>
      <c r="DE123" t="s">
        <v>441</v>
      </c>
      <c r="DF123" t="s">
        <v>479</v>
      </c>
      <c r="DG123" t="s">
        <v>367</v>
      </c>
      <c r="DH123" t="s">
        <v>367</v>
      </c>
      <c r="DI123" t="s">
        <v>372</v>
      </c>
      <c r="DJ123" t="s">
        <v>480</v>
      </c>
      <c r="DK123" t="s">
        <v>370</v>
      </c>
      <c r="DL123" t="s">
        <v>371</v>
      </c>
      <c r="DM123" t="s">
        <v>371</v>
      </c>
      <c r="DN123" t="s">
        <v>371</v>
      </c>
      <c r="DO123" t="s">
        <v>372</v>
      </c>
      <c r="DP123" t="s">
        <v>481</v>
      </c>
      <c r="DQ123" t="s">
        <v>370</v>
      </c>
      <c r="DR123" t="s">
        <v>371</v>
      </c>
      <c r="DS123" t="s">
        <v>371</v>
      </c>
      <c r="DT123" t="s">
        <v>371</v>
      </c>
      <c r="DU123" t="s">
        <v>371</v>
      </c>
      <c r="DV123" t="s">
        <v>371</v>
      </c>
      <c r="DW123" t="s">
        <v>371</v>
      </c>
      <c r="DX123" t="s">
        <v>371</v>
      </c>
      <c r="DY123" t="s">
        <v>371</v>
      </c>
      <c r="DZ123" t="s">
        <v>371</v>
      </c>
      <c r="EA123" t="s">
        <v>371</v>
      </c>
      <c r="EB123" t="s">
        <v>371</v>
      </c>
      <c r="EC123" t="s">
        <v>371</v>
      </c>
      <c r="ED123" t="s">
        <v>371</v>
      </c>
      <c r="EE123" t="s">
        <v>371</v>
      </c>
      <c r="EF123" t="s">
        <v>371</v>
      </c>
      <c r="EG123" t="s">
        <v>371</v>
      </c>
      <c r="EH123" t="s">
        <v>371</v>
      </c>
      <c r="EI123" t="s">
        <v>482</v>
      </c>
      <c r="EJ123" t="s">
        <v>370</v>
      </c>
      <c r="EK123" t="s">
        <v>370</v>
      </c>
      <c r="EL123" t="s">
        <v>370</v>
      </c>
      <c r="EM123" t="s">
        <v>370</v>
      </c>
      <c r="EN123" t="s">
        <v>370</v>
      </c>
      <c r="EO123" t="s">
        <v>371</v>
      </c>
      <c r="EQ123" s="73">
        <v>46220</v>
      </c>
      <c r="ER123" t="s">
        <v>483</v>
      </c>
      <c r="ES123" t="s">
        <v>374</v>
      </c>
    </row>
    <row r="124" spans="1:209" ht="14.25" customHeight="1" x14ac:dyDescent="0.25">
      <c r="A124" t="s">
        <v>484</v>
      </c>
      <c r="D124" t="s">
        <v>366</v>
      </c>
      <c r="E124" s="73">
        <v>46191</v>
      </c>
      <c r="F124" t="s">
        <v>367</v>
      </c>
      <c r="H124" t="s">
        <v>368</v>
      </c>
      <c r="I124" t="s">
        <v>368</v>
      </c>
      <c r="J124">
        <v>1984</v>
      </c>
      <c r="K124" t="s">
        <v>369</v>
      </c>
      <c r="L124" t="s">
        <v>370</v>
      </c>
      <c r="M124" t="s">
        <v>371</v>
      </c>
      <c r="N124" t="s">
        <v>371</v>
      </c>
      <c r="O124" t="s">
        <v>371</v>
      </c>
      <c r="P124" t="s">
        <v>371</v>
      </c>
      <c r="Q124" t="s">
        <v>371</v>
      </c>
      <c r="R124" t="s">
        <v>372</v>
      </c>
      <c r="S124" t="s">
        <v>372</v>
      </c>
      <c r="T124" t="s">
        <v>372</v>
      </c>
      <c r="U124" t="s">
        <v>367</v>
      </c>
      <c r="W124" t="s">
        <v>367</v>
      </c>
      <c r="X124" t="s">
        <v>373</v>
      </c>
      <c r="Y124" t="s">
        <v>367</v>
      </c>
      <c r="Z124" t="s">
        <v>374</v>
      </c>
      <c r="AB124" s="73"/>
      <c r="AQ124" s="73"/>
      <c r="BG124" t="s">
        <v>371</v>
      </c>
      <c r="BH124" t="s">
        <v>371</v>
      </c>
      <c r="BI124" t="s">
        <v>371</v>
      </c>
      <c r="BJ124" t="s">
        <v>371</v>
      </c>
      <c r="BK124" t="s">
        <v>371</v>
      </c>
      <c r="BL124" t="s">
        <v>371</v>
      </c>
      <c r="BM124" t="s">
        <v>371</v>
      </c>
      <c r="BN124" t="s">
        <v>371</v>
      </c>
      <c r="BO124" t="s">
        <v>371</v>
      </c>
      <c r="BQ124" t="s">
        <v>375</v>
      </c>
      <c r="BR124" s="73"/>
      <c r="CX124" s="73"/>
      <c r="EQ124" s="73"/>
      <c r="FT124">
        <v>0</v>
      </c>
      <c r="FZ124" t="s">
        <v>371</v>
      </c>
      <c r="GA124" t="s">
        <v>371</v>
      </c>
      <c r="GB124" t="s">
        <v>371</v>
      </c>
      <c r="GC124" t="s">
        <v>371</v>
      </c>
      <c r="GD124" t="s">
        <v>371</v>
      </c>
      <c r="GF124" t="s">
        <v>371</v>
      </c>
      <c r="GG124" t="s">
        <v>371</v>
      </c>
      <c r="GH124" t="s">
        <v>371</v>
      </c>
      <c r="GI124" t="s">
        <v>371</v>
      </c>
      <c r="GJ124" t="s">
        <v>371</v>
      </c>
      <c r="GK124" t="s">
        <v>371</v>
      </c>
      <c r="GN124" t="s">
        <v>371</v>
      </c>
      <c r="GO124" t="s">
        <v>371</v>
      </c>
      <c r="GP124" t="s">
        <v>371</v>
      </c>
      <c r="GQ124" t="s">
        <v>371</v>
      </c>
      <c r="GR124" t="s">
        <v>371</v>
      </c>
      <c r="GS124" t="s">
        <v>371</v>
      </c>
      <c r="GT124" t="s">
        <v>371</v>
      </c>
      <c r="GU124" t="s">
        <v>371</v>
      </c>
      <c r="GV124" t="s">
        <v>371</v>
      </c>
      <c r="GW124" t="s">
        <v>371</v>
      </c>
      <c r="GX124" t="s">
        <v>371</v>
      </c>
      <c r="HA124" t="s">
        <v>375</v>
      </c>
    </row>
    <row r="125" spans="1:209" ht="14.25" customHeight="1" x14ac:dyDescent="0.25">
      <c r="A125" t="s">
        <v>484</v>
      </c>
      <c r="B125" t="s">
        <v>376</v>
      </c>
      <c r="C125">
        <v>1</v>
      </c>
      <c r="D125" t="s">
        <v>366</v>
      </c>
      <c r="E125" s="73"/>
      <c r="AA125" t="s">
        <v>377</v>
      </c>
      <c r="AB125" s="73">
        <v>46191</v>
      </c>
      <c r="AC125" t="s">
        <v>397</v>
      </c>
      <c r="AF125" t="s">
        <v>379</v>
      </c>
      <c r="AI125" t="s">
        <v>485</v>
      </c>
      <c r="AJ125">
        <v>0</v>
      </c>
      <c r="AK125" t="s">
        <v>372</v>
      </c>
      <c r="AP125" t="s">
        <v>374</v>
      </c>
      <c r="AQ125" s="73"/>
      <c r="BR125" s="73"/>
      <c r="CX125" s="73"/>
      <c r="EQ125" s="73"/>
    </row>
    <row r="126" spans="1:209" ht="14.25" customHeight="1" x14ac:dyDescent="0.25">
      <c r="A126" t="s">
        <v>484</v>
      </c>
      <c r="B126" t="s">
        <v>381</v>
      </c>
      <c r="C126">
        <v>1</v>
      </c>
      <c r="D126" t="s">
        <v>366</v>
      </c>
      <c r="E126" s="73"/>
      <c r="AB126" s="73"/>
      <c r="AQ126" s="73">
        <v>46191</v>
      </c>
      <c r="AR126" t="s">
        <v>397</v>
      </c>
      <c r="AU126" t="s">
        <v>384</v>
      </c>
      <c r="AV126" t="s">
        <v>385</v>
      </c>
      <c r="AW126" t="s">
        <v>384</v>
      </c>
      <c r="AX126" t="s">
        <v>404</v>
      </c>
      <c r="AY126" t="s">
        <v>404</v>
      </c>
      <c r="AZ126" t="s">
        <v>384</v>
      </c>
      <c r="BA126" t="s">
        <v>367</v>
      </c>
      <c r="BB126" t="s">
        <v>367</v>
      </c>
      <c r="BC126">
        <v>8</v>
      </c>
      <c r="BD126" t="s">
        <v>374</v>
      </c>
      <c r="BR126" s="73"/>
      <c r="CX126" s="73"/>
      <c r="EQ126" s="73"/>
    </row>
    <row r="127" spans="1:209" ht="14.25" customHeight="1" x14ac:dyDescent="0.25">
      <c r="A127" t="s">
        <v>486</v>
      </c>
      <c r="D127" t="s">
        <v>366</v>
      </c>
      <c r="E127" s="73">
        <v>46191</v>
      </c>
      <c r="F127" t="s">
        <v>367</v>
      </c>
      <c r="H127" t="s">
        <v>403</v>
      </c>
      <c r="I127" t="s">
        <v>403</v>
      </c>
      <c r="J127">
        <v>1983</v>
      </c>
      <c r="K127" t="s">
        <v>391</v>
      </c>
      <c r="L127" t="s">
        <v>370</v>
      </c>
      <c r="M127" t="s">
        <v>371</v>
      </c>
      <c r="N127" t="s">
        <v>371</v>
      </c>
      <c r="O127" t="s">
        <v>371</v>
      </c>
      <c r="P127" t="s">
        <v>371</v>
      </c>
      <c r="Q127" t="s">
        <v>371</v>
      </c>
      <c r="R127" t="s">
        <v>372</v>
      </c>
      <c r="S127" t="s">
        <v>367</v>
      </c>
      <c r="T127" t="s">
        <v>372</v>
      </c>
      <c r="U127" t="s">
        <v>367</v>
      </c>
      <c r="W127" t="s">
        <v>367</v>
      </c>
      <c r="X127" t="s">
        <v>399</v>
      </c>
      <c r="Y127" t="s">
        <v>396</v>
      </c>
      <c r="Z127" t="s">
        <v>374</v>
      </c>
      <c r="AB127" s="73"/>
      <c r="AQ127" s="73"/>
      <c r="BG127" t="s">
        <v>371</v>
      </c>
      <c r="BH127" t="s">
        <v>371</v>
      </c>
      <c r="BI127" t="s">
        <v>371</v>
      </c>
      <c r="BJ127" t="s">
        <v>371</v>
      </c>
      <c r="BK127" t="s">
        <v>371</v>
      </c>
      <c r="BL127" t="s">
        <v>371</v>
      </c>
      <c r="BM127" t="s">
        <v>371</v>
      </c>
      <c r="BN127" t="s">
        <v>371</v>
      </c>
      <c r="BO127" t="s">
        <v>371</v>
      </c>
      <c r="BQ127" t="s">
        <v>375</v>
      </c>
      <c r="BR127" s="73"/>
      <c r="CX127" s="73"/>
      <c r="EQ127" s="73"/>
      <c r="FT127">
        <v>0</v>
      </c>
      <c r="FZ127" t="s">
        <v>371</v>
      </c>
      <c r="GA127" t="s">
        <v>371</v>
      </c>
      <c r="GB127" t="s">
        <v>371</v>
      </c>
      <c r="GC127" t="s">
        <v>371</v>
      </c>
      <c r="GD127" t="s">
        <v>371</v>
      </c>
      <c r="GF127" t="s">
        <v>371</v>
      </c>
      <c r="GG127" t="s">
        <v>371</v>
      </c>
      <c r="GH127" t="s">
        <v>371</v>
      </c>
      <c r="GI127" t="s">
        <v>371</v>
      </c>
      <c r="GJ127" t="s">
        <v>371</v>
      </c>
      <c r="GK127" t="s">
        <v>371</v>
      </c>
      <c r="GN127" t="s">
        <v>371</v>
      </c>
      <c r="GO127" t="s">
        <v>371</v>
      </c>
      <c r="GP127" t="s">
        <v>371</v>
      </c>
      <c r="GQ127" t="s">
        <v>371</v>
      </c>
      <c r="GR127" t="s">
        <v>371</v>
      </c>
      <c r="GS127" t="s">
        <v>371</v>
      </c>
      <c r="GT127" t="s">
        <v>371</v>
      </c>
      <c r="GU127" t="s">
        <v>371</v>
      </c>
      <c r="GV127" t="s">
        <v>371</v>
      </c>
      <c r="GW127" t="s">
        <v>371</v>
      </c>
      <c r="GX127" t="s">
        <v>371</v>
      </c>
      <c r="HA127" t="s">
        <v>375</v>
      </c>
    </row>
    <row r="128" spans="1:209" ht="14.25" customHeight="1" x14ac:dyDescent="0.25">
      <c r="A128" t="s">
        <v>486</v>
      </c>
      <c r="B128" t="s">
        <v>376</v>
      </c>
      <c r="C128">
        <v>1</v>
      </c>
      <c r="D128" t="s">
        <v>366</v>
      </c>
      <c r="E128" s="73"/>
      <c r="AA128" t="s">
        <v>377</v>
      </c>
      <c r="AB128" s="73">
        <v>46191</v>
      </c>
      <c r="AC128" t="s">
        <v>397</v>
      </c>
      <c r="AF128" t="s">
        <v>379</v>
      </c>
      <c r="AI128" t="s">
        <v>400</v>
      </c>
      <c r="AJ128">
        <v>0</v>
      </c>
      <c r="AK128" t="s">
        <v>372</v>
      </c>
      <c r="AP128" t="s">
        <v>374</v>
      </c>
      <c r="AQ128" s="73"/>
      <c r="BR128" s="73"/>
      <c r="CX128" s="73"/>
      <c r="EQ128" s="73"/>
    </row>
    <row r="129" spans="1:209" ht="14.25" customHeight="1" x14ac:dyDescent="0.25">
      <c r="A129" t="s">
        <v>486</v>
      </c>
      <c r="B129" t="s">
        <v>381</v>
      </c>
      <c r="C129">
        <v>1</v>
      </c>
      <c r="D129" t="s">
        <v>366</v>
      </c>
      <c r="E129" s="73"/>
      <c r="AB129" s="73"/>
      <c r="AQ129" s="73">
        <v>46191</v>
      </c>
      <c r="AR129" t="s">
        <v>382</v>
      </c>
      <c r="AU129" t="s">
        <v>383</v>
      </c>
      <c r="AV129" t="s">
        <v>383</v>
      </c>
      <c r="AW129" t="s">
        <v>383</v>
      </c>
      <c r="AX129" t="s">
        <v>383</v>
      </c>
      <c r="AY129" t="s">
        <v>384</v>
      </c>
      <c r="AZ129" t="s">
        <v>383</v>
      </c>
      <c r="BA129" t="s">
        <v>367</v>
      </c>
      <c r="BB129" t="s">
        <v>367</v>
      </c>
      <c r="BC129">
        <v>5</v>
      </c>
      <c r="BD129" t="s">
        <v>374</v>
      </c>
      <c r="BR129" s="73"/>
      <c r="CX129" s="73"/>
      <c r="EQ129" s="73"/>
    </row>
    <row r="130" spans="1:209" ht="14.25" customHeight="1" x14ac:dyDescent="0.25">
      <c r="A130" t="s">
        <v>487</v>
      </c>
      <c r="D130" t="s">
        <v>366</v>
      </c>
      <c r="E130" s="73">
        <v>46191</v>
      </c>
      <c r="F130" t="s">
        <v>367</v>
      </c>
      <c r="H130" t="s">
        <v>403</v>
      </c>
      <c r="I130" t="s">
        <v>403</v>
      </c>
      <c r="J130">
        <v>1972</v>
      </c>
      <c r="K130" t="s">
        <v>391</v>
      </c>
      <c r="L130" t="s">
        <v>370</v>
      </c>
      <c r="M130" t="s">
        <v>371</v>
      </c>
      <c r="N130" t="s">
        <v>371</v>
      </c>
      <c r="O130" t="s">
        <v>371</v>
      </c>
      <c r="P130" t="s">
        <v>371</v>
      </c>
      <c r="Q130" t="s">
        <v>371</v>
      </c>
      <c r="R130" t="s">
        <v>372</v>
      </c>
      <c r="S130" t="s">
        <v>372</v>
      </c>
      <c r="T130" t="s">
        <v>372</v>
      </c>
      <c r="U130" t="s">
        <v>367</v>
      </c>
      <c r="W130" t="s">
        <v>367</v>
      </c>
      <c r="X130" t="s">
        <v>399</v>
      </c>
      <c r="Y130" t="s">
        <v>421</v>
      </c>
      <c r="Z130" t="s">
        <v>374</v>
      </c>
      <c r="AB130" s="73"/>
      <c r="AQ130" s="73"/>
      <c r="BG130" t="s">
        <v>371</v>
      </c>
      <c r="BH130" t="s">
        <v>371</v>
      </c>
      <c r="BI130" t="s">
        <v>371</v>
      </c>
      <c r="BJ130" t="s">
        <v>371</v>
      </c>
      <c r="BK130" t="s">
        <v>371</v>
      </c>
      <c r="BL130" t="s">
        <v>371</v>
      </c>
      <c r="BM130" t="s">
        <v>371</v>
      </c>
      <c r="BN130" t="s">
        <v>371</v>
      </c>
      <c r="BO130" t="s">
        <v>371</v>
      </c>
      <c r="BQ130" t="s">
        <v>375</v>
      </c>
      <c r="BR130" s="73"/>
      <c r="CX130" s="73"/>
      <c r="EQ130" s="73"/>
      <c r="FT130">
        <v>0</v>
      </c>
      <c r="FZ130" t="s">
        <v>371</v>
      </c>
      <c r="GA130" t="s">
        <v>371</v>
      </c>
      <c r="GB130" t="s">
        <v>371</v>
      </c>
      <c r="GC130" t="s">
        <v>371</v>
      </c>
      <c r="GD130" t="s">
        <v>371</v>
      </c>
      <c r="GF130" t="s">
        <v>371</v>
      </c>
      <c r="GG130" t="s">
        <v>371</v>
      </c>
      <c r="GH130" t="s">
        <v>371</v>
      </c>
      <c r="GI130" t="s">
        <v>371</v>
      </c>
      <c r="GJ130" t="s">
        <v>371</v>
      </c>
      <c r="GK130" t="s">
        <v>371</v>
      </c>
      <c r="GN130" t="s">
        <v>371</v>
      </c>
      <c r="GO130" t="s">
        <v>371</v>
      </c>
      <c r="GP130" t="s">
        <v>371</v>
      </c>
      <c r="GQ130" t="s">
        <v>371</v>
      </c>
      <c r="GR130" t="s">
        <v>371</v>
      </c>
      <c r="GS130" t="s">
        <v>371</v>
      </c>
      <c r="GT130" t="s">
        <v>371</v>
      </c>
      <c r="GU130" t="s">
        <v>371</v>
      </c>
      <c r="GV130" t="s">
        <v>371</v>
      </c>
      <c r="GW130" t="s">
        <v>371</v>
      </c>
      <c r="GX130" t="s">
        <v>371</v>
      </c>
      <c r="HA130" t="s">
        <v>375</v>
      </c>
    </row>
    <row r="131" spans="1:209" ht="14.25" customHeight="1" x14ac:dyDescent="0.25">
      <c r="A131" t="s">
        <v>487</v>
      </c>
      <c r="B131" t="s">
        <v>376</v>
      </c>
      <c r="C131">
        <v>1</v>
      </c>
      <c r="D131" t="s">
        <v>366</v>
      </c>
      <c r="E131" s="73"/>
      <c r="AA131" t="s">
        <v>377</v>
      </c>
      <c r="AB131" s="73">
        <v>46191</v>
      </c>
      <c r="AC131" t="s">
        <v>397</v>
      </c>
      <c r="AF131" t="s">
        <v>379</v>
      </c>
      <c r="AI131" t="s">
        <v>400</v>
      </c>
      <c r="AJ131">
        <v>0</v>
      </c>
      <c r="AK131" t="s">
        <v>372</v>
      </c>
      <c r="AP131" t="s">
        <v>374</v>
      </c>
      <c r="AQ131" s="73"/>
      <c r="BR131" s="73"/>
      <c r="CX131" s="73"/>
      <c r="EQ131" s="73"/>
    </row>
    <row r="132" spans="1:209" ht="14.25" customHeight="1" x14ac:dyDescent="0.25">
      <c r="A132" t="s">
        <v>487</v>
      </c>
      <c r="B132" t="s">
        <v>381</v>
      </c>
      <c r="C132">
        <v>1</v>
      </c>
      <c r="D132" t="s">
        <v>366</v>
      </c>
      <c r="E132" s="73"/>
      <c r="AB132" s="73"/>
      <c r="AQ132" s="73">
        <v>46191</v>
      </c>
      <c r="AR132" t="s">
        <v>394</v>
      </c>
      <c r="AU132" t="s">
        <v>384</v>
      </c>
      <c r="AV132" t="s">
        <v>383</v>
      </c>
      <c r="AW132" t="s">
        <v>384</v>
      </c>
      <c r="AX132" t="s">
        <v>383</v>
      </c>
      <c r="AY132" t="s">
        <v>383</v>
      </c>
      <c r="AZ132" t="s">
        <v>383</v>
      </c>
      <c r="BA132" t="s">
        <v>367</v>
      </c>
      <c r="BB132" t="s">
        <v>367</v>
      </c>
      <c r="BC132">
        <v>4</v>
      </c>
      <c r="BD132" t="s">
        <v>374</v>
      </c>
      <c r="BR132" s="73"/>
      <c r="CX132" s="73"/>
      <c r="EQ132" s="73"/>
    </row>
    <row r="133" spans="1:209" ht="14.25" customHeight="1" x14ac:dyDescent="0.25">
      <c r="A133" t="s">
        <v>488</v>
      </c>
      <c r="D133" t="s">
        <v>366</v>
      </c>
      <c r="E133" s="73">
        <v>46191</v>
      </c>
      <c r="F133" t="s">
        <v>367</v>
      </c>
      <c r="H133" t="s">
        <v>368</v>
      </c>
      <c r="I133" t="s">
        <v>368</v>
      </c>
      <c r="J133">
        <v>1977</v>
      </c>
      <c r="K133" t="s">
        <v>369</v>
      </c>
      <c r="L133" t="s">
        <v>370</v>
      </c>
      <c r="M133" t="s">
        <v>371</v>
      </c>
      <c r="N133" t="s">
        <v>371</v>
      </c>
      <c r="O133" t="s">
        <v>371</v>
      </c>
      <c r="P133" t="s">
        <v>371</v>
      </c>
      <c r="Q133" t="s">
        <v>371</v>
      </c>
      <c r="R133" t="s">
        <v>489</v>
      </c>
      <c r="S133" t="s">
        <v>372</v>
      </c>
      <c r="T133" t="s">
        <v>367</v>
      </c>
      <c r="U133" t="s">
        <v>367</v>
      </c>
      <c r="W133" t="s">
        <v>367</v>
      </c>
      <c r="X133" t="s">
        <v>373</v>
      </c>
      <c r="Y133" t="s">
        <v>367</v>
      </c>
      <c r="Z133" t="s">
        <v>374</v>
      </c>
      <c r="AB133" s="73"/>
      <c r="AQ133" s="73"/>
      <c r="BG133" t="s">
        <v>371</v>
      </c>
      <c r="BH133" t="s">
        <v>371</v>
      </c>
      <c r="BI133" t="s">
        <v>371</v>
      </c>
      <c r="BJ133" t="s">
        <v>371</v>
      </c>
      <c r="BK133" t="s">
        <v>371</v>
      </c>
      <c r="BL133" t="s">
        <v>371</v>
      </c>
      <c r="BM133" t="s">
        <v>371</v>
      </c>
      <c r="BN133" t="s">
        <v>371</v>
      </c>
      <c r="BO133" t="s">
        <v>371</v>
      </c>
      <c r="BQ133" t="s">
        <v>375</v>
      </c>
      <c r="BR133" s="73"/>
      <c r="CX133" s="73"/>
      <c r="EQ133" s="73"/>
      <c r="FT133">
        <v>0</v>
      </c>
      <c r="FZ133" t="s">
        <v>371</v>
      </c>
      <c r="GA133" t="s">
        <v>371</v>
      </c>
      <c r="GB133" t="s">
        <v>371</v>
      </c>
      <c r="GC133" t="s">
        <v>371</v>
      </c>
      <c r="GD133" t="s">
        <v>371</v>
      </c>
      <c r="GF133" t="s">
        <v>371</v>
      </c>
      <c r="GG133" t="s">
        <v>371</v>
      </c>
      <c r="GH133" t="s">
        <v>371</v>
      </c>
      <c r="GI133" t="s">
        <v>371</v>
      </c>
      <c r="GJ133" t="s">
        <v>371</v>
      </c>
      <c r="GK133" t="s">
        <v>371</v>
      </c>
      <c r="GN133" t="s">
        <v>371</v>
      </c>
      <c r="GO133" t="s">
        <v>371</v>
      </c>
      <c r="GP133" t="s">
        <v>371</v>
      </c>
      <c r="GQ133" t="s">
        <v>371</v>
      </c>
      <c r="GR133" t="s">
        <v>371</v>
      </c>
      <c r="GS133" t="s">
        <v>371</v>
      </c>
      <c r="GT133" t="s">
        <v>371</v>
      </c>
      <c r="GU133" t="s">
        <v>371</v>
      </c>
      <c r="GV133" t="s">
        <v>371</v>
      </c>
      <c r="GW133" t="s">
        <v>371</v>
      </c>
      <c r="GX133" t="s">
        <v>371</v>
      </c>
      <c r="HA133" t="s">
        <v>375</v>
      </c>
    </row>
    <row r="134" spans="1:209" ht="14.25" customHeight="1" x14ac:dyDescent="0.25">
      <c r="A134" t="s">
        <v>488</v>
      </c>
      <c r="B134" t="s">
        <v>376</v>
      </c>
      <c r="C134">
        <v>1</v>
      </c>
      <c r="D134" t="s">
        <v>366</v>
      </c>
      <c r="E134" s="73"/>
      <c r="AA134" t="s">
        <v>377</v>
      </c>
      <c r="AB134" s="73">
        <v>46191</v>
      </c>
      <c r="AC134" t="s">
        <v>397</v>
      </c>
      <c r="AF134" t="s">
        <v>379</v>
      </c>
      <c r="AI134" t="s">
        <v>400</v>
      </c>
      <c r="AJ134">
        <v>0</v>
      </c>
      <c r="AK134" t="s">
        <v>372</v>
      </c>
      <c r="AP134" t="s">
        <v>374</v>
      </c>
      <c r="AQ134" s="73"/>
      <c r="BR134" s="73"/>
      <c r="CX134" s="73"/>
      <c r="EQ134" s="73"/>
    </row>
    <row r="135" spans="1:209" ht="14.25" customHeight="1" x14ac:dyDescent="0.25">
      <c r="A135" t="s">
        <v>488</v>
      </c>
      <c r="B135" t="s">
        <v>381</v>
      </c>
      <c r="C135">
        <v>1</v>
      </c>
      <c r="D135" t="s">
        <v>366</v>
      </c>
      <c r="E135" s="73"/>
      <c r="AB135" s="73"/>
      <c r="AQ135" s="73">
        <v>46191</v>
      </c>
      <c r="AR135" t="s">
        <v>378</v>
      </c>
      <c r="AU135" t="s">
        <v>384</v>
      </c>
      <c r="AV135" t="s">
        <v>384</v>
      </c>
      <c r="AW135" t="s">
        <v>383</v>
      </c>
      <c r="AX135" t="s">
        <v>383</v>
      </c>
      <c r="AY135" t="s">
        <v>384</v>
      </c>
      <c r="AZ135" t="s">
        <v>383</v>
      </c>
      <c r="BA135" t="s">
        <v>367</v>
      </c>
      <c r="BB135" t="s">
        <v>367</v>
      </c>
      <c r="BC135">
        <v>3</v>
      </c>
      <c r="BD135" t="s">
        <v>374</v>
      </c>
      <c r="BR135" s="73"/>
      <c r="CX135" s="73"/>
      <c r="EQ135" s="73"/>
    </row>
    <row r="136" spans="1:209" ht="14.25" customHeight="1" x14ac:dyDescent="0.25">
      <c r="A136" t="s">
        <v>490</v>
      </c>
      <c r="D136" t="s">
        <v>366</v>
      </c>
      <c r="E136" s="73">
        <v>46191</v>
      </c>
      <c r="F136" t="s">
        <v>367</v>
      </c>
      <c r="H136" t="s">
        <v>368</v>
      </c>
      <c r="I136" t="s">
        <v>368</v>
      </c>
      <c r="J136">
        <v>1975</v>
      </c>
      <c r="K136" t="s">
        <v>369</v>
      </c>
      <c r="L136" t="s">
        <v>370</v>
      </c>
      <c r="M136" t="s">
        <v>371</v>
      </c>
      <c r="N136" t="s">
        <v>371</v>
      </c>
      <c r="O136" t="s">
        <v>371</v>
      </c>
      <c r="P136" t="s">
        <v>371</v>
      </c>
      <c r="Q136" t="s">
        <v>371</v>
      </c>
      <c r="R136" t="s">
        <v>372</v>
      </c>
      <c r="S136" t="s">
        <v>372</v>
      </c>
      <c r="T136" t="s">
        <v>372</v>
      </c>
      <c r="U136" t="s">
        <v>367</v>
      </c>
      <c r="W136" t="s">
        <v>367</v>
      </c>
      <c r="X136" t="s">
        <v>432</v>
      </c>
      <c r="Y136" t="s">
        <v>421</v>
      </c>
      <c r="Z136" t="s">
        <v>374</v>
      </c>
      <c r="AB136" s="73"/>
      <c r="AQ136" s="73"/>
      <c r="BG136" t="s">
        <v>371</v>
      </c>
      <c r="BH136" t="s">
        <v>371</v>
      </c>
      <c r="BI136" t="s">
        <v>371</v>
      </c>
      <c r="BJ136" t="s">
        <v>371</v>
      </c>
      <c r="BK136" t="s">
        <v>371</v>
      </c>
      <c r="BL136" t="s">
        <v>371</v>
      </c>
      <c r="BM136" t="s">
        <v>371</v>
      </c>
      <c r="BN136" t="s">
        <v>371</v>
      </c>
      <c r="BO136" t="s">
        <v>371</v>
      </c>
      <c r="BQ136" t="s">
        <v>375</v>
      </c>
      <c r="BR136" s="73"/>
      <c r="CX136" s="73"/>
      <c r="EQ136" s="73"/>
      <c r="FT136">
        <v>0</v>
      </c>
      <c r="FZ136" t="s">
        <v>371</v>
      </c>
      <c r="GA136" t="s">
        <v>371</v>
      </c>
      <c r="GB136" t="s">
        <v>371</v>
      </c>
      <c r="GC136" t="s">
        <v>371</v>
      </c>
      <c r="GD136" t="s">
        <v>371</v>
      </c>
      <c r="GF136" t="s">
        <v>371</v>
      </c>
      <c r="GG136" t="s">
        <v>371</v>
      </c>
      <c r="GH136" t="s">
        <v>371</v>
      </c>
      <c r="GI136" t="s">
        <v>371</v>
      </c>
      <c r="GJ136" t="s">
        <v>371</v>
      </c>
      <c r="GK136" t="s">
        <v>371</v>
      </c>
      <c r="GN136" t="s">
        <v>371</v>
      </c>
      <c r="GO136" t="s">
        <v>371</v>
      </c>
      <c r="GP136" t="s">
        <v>371</v>
      </c>
      <c r="GQ136" t="s">
        <v>371</v>
      </c>
      <c r="GR136" t="s">
        <v>371</v>
      </c>
      <c r="GS136" t="s">
        <v>371</v>
      </c>
      <c r="GT136" t="s">
        <v>371</v>
      </c>
      <c r="GU136" t="s">
        <v>371</v>
      </c>
      <c r="GV136" t="s">
        <v>371</v>
      </c>
      <c r="GW136" t="s">
        <v>371</v>
      </c>
      <c r="GX136" t="s">
        <v>371</v>
      </c>
      <c r="HA136" t="s">
        <v>375</v>
      </c>
    </row>
    <row r="137" spans="1:209" ht="14.25" customHeight="1" x14ac:dyDescent="0.25">
      <c r="A137" t="s">
        <v>490</v>
      </c>
      <c r="B137" t="s">
        <v>376</v>
      </c>
      <c r="C137">
        <v>1</v>
      </c>
      <c r="D137" t="s">
        <v>366</v>
      </c>
      <c r="E137" s="73"/>
      <c r="AA137" t="s">
        <v>377</v>
      </c>
      <c r="AB137" s="73">
        <v>46191</v>
      </c>
      <c r="AC137" t="s">
        <v>397</v>
      </c>
      <c r="AF137" t="s">
        <v>379</v>
      </c>
      <c r="AI137" t="s">
        <v>380</v>
      </c>
      <c r="AJ137">
        <v>0</v>
      </c>
      <c r="AK137" t="s">
        <v>372</v>
      </c>
      <c r="AP137" t="s">
        <v>374</v>
      </c>
      <c r="AQ137" s="73"/>
      <c r="BR137" s="73"/>
      <c r="CX137" s="73"/>
      <c r="EQ137" s="73"/>
    </row>
    <row r="138" spans="1:209" ht="14.25" customHeight="1" x14ac:dyDescent="0.25">
      <c r="A138" t="s">
        <v>490</v>
      </c>
      <c r="B138" t="s">
        <v>381</v>
      </c>
      <c r="C138">
        <v>1</v>
      </c>
      <c r="D138" t="s">
        <v>366</v>
      </c>
      <c r="E138" s="73"/>
      <c r="AB138" s="73"/>
      <c r="AQ138" s="73">
        <v>46191</v>
      </c>
      <c r="AR138" t="s">
        <v>397</v>
      </c>
      <c r="AU138" t="s">
        <v>384</v>
      </c>
      <c r="AV138" t="s">
        <v>383</v>
      </c>
      <c r="AW138" t="s">
        <v>384</v>
      </c>
      <c r="AX138" t="s">
        <v>385</v>
      </c>
      <c r="AY138" t="s">
        <v>383</v>
      </c>
      <c r="AZ138" t="s">
        <v>384</v>
      </c>
      <c r="BA138" t="s">
        <v>367</v>
      </c>
      <c r="BB138" t="s">
        <v>372</v>
      </c>
      <c r="BC138">
        <v>6</v>
      </c>
      <c r="BD138" t="s">
        <v>374</v>
      </c>
      <c r="BR138" s="73"/>
      <c r="CX138" s="73"/>
      <c r="EQ138" s="73"/>
    </row>
    <row r="139" spans="1:209" ht="14.25" customHeight="1" x14ac:dyDescent="0.25">
      <c r="A139" t="s">
        <v>491</v>
      </c>
      <c r="D139" t="s">
        <v>366</v>
      </c>
      <c r="E139" s="73">
        <v>46191</v>
      </c>
      <c r="F139" t="s">
        <v>367</v>
      </c>
      <c r="H139" t="s">
        <v>368</v>
      </c>
      <c r="I139" t="s">
        <v>368</v>
      </c>
      <c r="J139">
        <v>1986</v>
      </c>
      <c r="K139" t="s">
        <v>369</v>
      </c>
      <c r="L139" t="s">
        <v>370</v>
      </c>
      <c r="M139" t="s">
        <v>371</v>
      </c>
      <c r="N139" t="s">
        <v>371</v>
      </c>
      <c r="O139" t="s">
        <v>371</v>
      </c>
      <c r="P139" t="s">
        <v>371</v>
      </c>
      <c r="Q139" t="s">
        <v>371</v>
      </c>
      <c r="R139" t="s">
        <v>372</v>
      </c>
      <c r="S139" t="s">
        <v>372</v>
      </c>
      <c r="T139" t="s">
        <v>367</v>
      </c>
      <c r="U139" t="s">
        <v>367</v>
      </c>
      <c r="W139" t="s">
        <v>367</v>
      </c>
      <c r="X139" t="s">
        <v>432</v>
      </c>
      <c r="Y139" t="s">
        <v>421</v>
      </c>
      <c r="Z139" t="s">
        <v>374</v>
      </c>
      <c r="AB139" s="73"/>
      <c r="AQ139" s="73"/>
      <c r="BG139" t="s">
        <v>371</v>
      </c>
      <c r="BH139" t="s">
        <v>371</v>
      </c>
      <c r="BI139" t="s">
        <v>371</v>
      </c>
      <c r="BJ139" t="s">
        <v>371</v>
      </c>
      <c r="BK139" t="s">
        <v>371</v>
      </c>
      <c r="BL139" t="s">
        <v>371</v>
      </c>
      <c r="BM139" t="s">
        <v>371</v>
      </c>
      <c r="BN139" t="s">
        <v>371</v>
      </c>
      <c r="BO139" t="s">
        <v>371</v>
      </c>
      <c r="BQ139" t="s">
        <v>375</v>
      </c>
      <c r="BR139" s="73"/>
      <c r="CX139" s="73"/>
      <c r="EQ139" s="73"/>
      <c r="FT139">
        <v>0</v>
      </c>
      <c r="FZ139" t="s">
        <v>371</v>
      </c>
      <c r="GA139" t="s">
        <v>371</v>
      </c>
      <c r="GB139" t="s">
        <v>371</v>
      </c>
      <c r="GC139" t="s">
        <v>371</v>
      </c>
      <c r="GD139" t="s">
        <v>371</v>
      </c>
      <c r="GF139" t="s">
        <v>371</v>
      </c>
      <c r="GG139" t="s">
        <v>371</v>
      </c>
      <c r="GH139" t="s">
        <v>371</v>
      </c>
      <c r="GI139" t="s">
        <v>371</v>
      </c>
      <c r="GJ139" t="s">
        <v>371</v>
      </c>
      <c r="GK139" t="s">
        <v>371</v>
      </c>
      <c r="GN139" t="s">
        <v>371</v>
      </c>
      <c r="GO139" t="s">
        <v>371</v>
      </c>
      <c r="GP139" t="s">
        <v>371</v>
      </c>
      <c r="GQ139" t="s">
        <v>371</v>
      </c>
      <c r="GR139" t="s">
        <v>371</v>
      </c>
      <c r="GS139" t="s">
        <v>371</v>
      </c>
      <c r="GT139" t="s">
        <v>371</v>
      </c>
      <c r="GU139" t="s">
        <v>371</v>
      </c>
      <c r="GV139" t="s">
        <v>371</v>
      </c>
      <c r="GW139" t="s">
        <v>371</v>
      </c>
      <c r="GX139" t="s">
        <v>371</v>
      </c>
      <c r="HA139" t="s">
        <v>375</v>
      </c>
    </row>
    <row r="140" spans="1:209" ht="14.25" customHeight="1" x14ac:dyDescent="0.25">
      <c r="A140" t="s">
        <v>491</v>
      </c>
      <c r="B140" t="s">
        <v>376</v>
      </c>
      <c r="C140">
        <v>1</v>
      </c>
      <c r="D140" t="s">
        <v>366</v>
      </c>
      <c r="E140" s="73"/>
      <c r="AA140" t="s">
        <v>377</v>
      </c>
      <c r="AB140" s="73">
        <v>46191</v>
      </c>
      <c r="AC140" t="s">
        <v>397</v>
      </c>
      <c r="AF140" t="s">
        <v>379</v>
      </c>
      <c r="AI140" t="s">
        <v>400</v>
      </c>
      <c r="AJ140">
        <v>0</v>
      </c>
      <c r="AK140" t="s">
        <v>372</v>
      </c>
      <c r="AP140" t="s">
        <v>374</v>
      </c>
      <c r="AQ140" s="73"/>
      <c r="BR140" s="73"/>
      <c r="CX140" s="73"/>
      <c r="EQ140" s="73"/>
    </row>
    <row r="141" spans="1:209" ht="14.25" customHeight="1" x14ac:dyDescent="0.25">
      <c r="A141" t="s">
        <v>491</v>
      </c>
      <c r="B141" t="s">
        <v>381</v>
      </c>
      <c r="C141">
        <v>1</v>
      </c>
      <c r="D141" t="s">
        <v>366</v>
      </c>
      <c r="E141" s="73"/>
      <c r="AB141" s="73"/>
      <c r="AQ141" s="73">
        <v>46191</v>
      </c>
      <c r="AR141" t="s">
        <v>382</v>
      </c>
      <c r="AU141" t="s">
        <v>384</v>
      </c>
      <c r="AV141" t="s">
        <v>384</v>
      </c>
      <c r="AW141" t="s">
        <v>384</v>
      </c>
      <c r="AX141" t="s">
        <v>383</v>
      </c>
      <c r="AY141" t="s">
        <v>384</v>
      </c>
      <c r="AZ141" t="s">
        <v>383</v>
      </c>
      <c r="BA141" t="s">
        <v>367</v>
      </c>
      <c r="BB141" t="s">
        <v>367</v>
      </c>
      <c r="BC141">
        <v>2</v>
      </c>
      <c r="BD141" t="s">
        <v>374</v>
      </c>
      <c r="BR141" s="73"/>
      <c r="CX141" s="73"/>
      <c r="EQ141" s="73"/>
    </row>
    <row r="142" spans="1:209" ht="14.25" customHeight="1" x14ac:dyDescent="0.25">
      <c r="A142" t="s">
        <v>492</v>
      </c>
      <c r="D142" t="s">
        <v>366</v>
      </c>
      <c r="E142" s="73">
        <v>46191</v>
      </c>
      <c r="F142" t="s">
        <v>367</v>
      </c>
      <c r="H142" t="s">
        <v>368</v>
      </c>
      <c r="I142" t="s">
        <v>368</v>
      </c>
      <c r="J142">
        <v>1977</v>
      </c>
      <c r="K142" t="s">
        <v>369</v>
      </c>
      <c r="L142" t="s">
        <v>370</v>
      </c>
      <c r="M142" t="s">
        <v>371</v>
      </c>
      <c r="N142" t="s">
        <v>371</v>
      </c>
      <c r="O142" t="s">
        <v>371</v>
      </c>
      <c r="P142" t="s">
        <v>371</v>
      </c>
      <c r="Q142" t="s">
        <v>371</v>
      </c>
      <c r="R142" t="s">
        <v>372</v>
      </c>
      <c r="S142" t="s">
        <v>372</v>
      </c>
      <c r="T142" t="s">
        <v>372</v>
      </c>
      <c r="U142" t="s">
        <v>367</v>
      </c>
      <c r="W142" t="s">
        <v>367</v>
      </c>
      <c r="X142" t="s">
        <v>399</v>
      </c>
      <c r="Y142" t="s">
        <v>421</v>
      </c>
      <c r="Z142" t="s">
        <v>374</v>
      </c>
      <c r="AB142" s="73"/>
      <c r="AQ142" s="73"/>
      <c r="BG142" t="s">
        <v>371</v>
      </c>
      <c r="BH142" t="s">
        <v>371</v>
      </c>
      <c r="BI142" t="s">
        <v>371</v>
      </c>
      <c r="BJ142" t="s">
        <v>371</v>
      </c>
      <c r="BK142" t="s">
        <v>371</v>
      </c>
      <c r="BL142" t="s">
        <v>371</v>
      </c>
      <c r="BM142" t="s">
        <v>371</v>
      </c>
      <c r="BN142" t="s">
        <v>371</v>
      </c>
      <c r="BO142" t="s">
        <v>371</v>
      </c>
      <c r="BQ142" t="s">
        <v>375</v>
      </c>
      <c r="BR142" s="73"/>
      <c r="CX142" s="73"/>
      <c r="EQ142" s="73"/>
      <c r="FT142">
        <v>0</v>
      </c>
      <c r="FZ142" t="s">
        <v>371</v>
      </c>
      <c r="GA142" t="s">
        <v>371</v>
      </c>
      <c r="GB142" t="s">
        <v>371</v>
      </c>
      <c r="GC142" t="s">
        <v>371</v>
      </c>
      <c r="GD142" t="s">
        <v>371</v>
      </c>
      <c r="GF142" t="s">
        <v>371</v>
      </c>
      <c r="GG142" t="s">
        <v>371</v>
      </c>
      <c r="GH142" t="s">
        <v>371</v>
      </c>
      <c r="GI142" t="s">
        <v>371</v>
      </c>
      <c r="GJ142" t="s">
        <v>371</v>
      </c>
      <c r="GK142" t="s">
        <v>371</v>
      </c>
      <c r="GN142" t="s">
        <v>371</v>
      </c>
      <c r="GO142" t="s">
        <v>371</v>
      </c>
      <c r="GP142" t="s">
        <v>371</v>
      </c>
      <c r="GQ142" t="s">
        <v>371</v>
      </c>
      <c r="GR142" t="s">
        <v>371</v>
      </c>
      <c r="GS142" t="s">
        <v>371</v>
      </c>
      <c r="GT142" t="s">
        <v>371</v>
      </c>
      <c r="GU142" t="s">
        <v>371</v>
      </c>
      <c r="GV142" t="s">
        <v>371</v>
      </c>
      <c r="GW142" t="s">
        <v>371</v>
      </c>
      <c r="GX142" t="s">
        <v>371</v>
      </c>
      <c r="HA142" t="s">
        <v>375</v>
      </c>
    </row>
    <row r="143" spans="1:209" ht="14.25" customHeight="1" x14ac:dyDescent="0.25">
      <c r="A143" t="s">
        <v>492</v>
      </c>
      <c r="B143" t="s">
        <v>376</v>
      </c>
      <c r="C143">
        <v>1</v>
      </c>
      <c r="D143" t="s">
        <v>366</v>
      </c>
      <c r="E143" s="73"/>
      <c r="AA143" t="s">
        <v>377</v>
      </c>
      <c r="AB143" s="73">
        <v>46191</v>
      </c>
      <c r="AC143" t="s">
        <v>397</v>
      </c>
      <c r="AF143" t="s">
        <v>379</v>
      </c>
      <c r="AI143" t="s">
        <v>400</v>
      </c>
      <c r="AJ143">
        <v>0</v>
      </c>
      <c r="AK143" t="s">
        <v>372</v>
      </c>
      <c r="AP143" t="s">
        <v>374</v>
      </c>
      <c r="AQ143" s="73"/>
      <c r="BR143" s="73"/>
      <c r="CX143" s="73"/>
      <c r="EQ143" s="73"/>
    </row>
    <row r="144" spans="1:209" ht="14.25" customHeight="1" x14ac:dyDescent="0.25">
      <c r="A144" t="s">
        <v>492</v>
      </c>
      <c r="B144" t="s">
        <v>381</v>
      </c>
      <c r="C144">
        <v>1</v>
      </c>
      <c r="D144" t="s">
        <v>366</v>
      </c>
      <c r="E144" s="73"/>
      <c r="AB144" s="73"/>
      <c r="AQ144" s="73">
        <v>46191</v>
      </c>
      <c r="AR144" t="s">
        <v>394</v>
      </c>
      <c r="AU144" t="s">
        <v>383</v>
      </c>
      <c r="AV144" t="s">
        <v>383</v>
      </c>
      <c r="AW144" t="s">
        <v>384</v>
      </c>
      <c r="AX144" t="s">
        <v>383</v>
      </c>
      <c r="AY144" t="s">
        <v>384</v>
      </c>
      <c r="AZ144" t="s">
        <v>383</v>
      </c>
      <c r="BA144" t="s">
        <v>367</v>
      </c>
      <c r="BB144" t="s">
        <v>372</v>
      </c>
      <c r="BC144">
        <v>6</v>
      </c>
      <c r="BD144" t="s">
        <v>374</v>
      </c>
      <c r="BR144" s="73"/>
      <c r="CX144" s="73"/>
      <c r="EQ144" s="73"/>
    </row>
    <row r="145" spans="1:209" ht="14.25" customHeight="1" x14ac:dyDescent="0.25">
      <c r="A145" t="s">
        <v>493</v>
      </c>
      <c r="D145" t="s">
        <v>366</v>
      </c>
      <c r="E145" s="73">
        <v>46191</v>
      </c>
      <c r="F145" t="s">
        <v>367</v>
      </c>
      <c r="H145" t="s">
        <v>368</v>
      </c>
      <c r="I145" t="s">
        <v>368</v>
      </c>
      <c r="J145">
        <v>1962</v>
      </c>
      <c r="K145" t="s">
        <v>391</v>
      </c>
      <c r="L145" t="s">
        <v>371</v>
      </c>
      <c r="M145" t="s">
        <v>370</v>
      </c>
      <c r="N145" t="s">
        <v>371</v>
      </c>
      <c r="O145" t="s">
        <v>371</v>
      </c>
      <c r="P145" t="s">
        <v>371</v>
      </c>
      <c r="Q145" t="s">
        <v>371</v>
      </c>
      <c r="R145" t="s">
        <v>372</v>
      </c>
      <c r="S145" t="s">
        <v>372</v>
      </c>
      <c r="T145" t="s">
        <v>372</v>
      </c>
      <c r="U145" t="s">
        <v>367</v>
      </c>
      <c r="W145" t="s">
        <v>367</v>
      </c>
      <c r="X145" t="s">
        <v>494</v>
      </c>
      <c r="Y145" t="s">
        <v>396</v>
      </c>
      <c r="Z145" t="s">
        <v>374</v>
      </c>
      <c r="AB145" s="73"/>
      <c r="AQ145" s="73"/>
      <c r="BG145" t="s">
        <v>371</v>
      </c>
      <c r="BH145" t="s">
        <v>371</v>
      </c>
      <c r="BI145" t="s">
        <v>371</v>
      </c>
      <c r="BJ145" t="s">
        <v>371</v>
      </c>
      <c r="BK145" t="s">
        <v>371</v>
      </c>
      <c r="BL145" t="s">
        <v>371</v>
      </c>
      <c r="BM145" t="s">
        <v>371</v>
      </c>
      <c r="BN145" t="s">
        <v>371</v>
      </c>
      <c r="BO145" t="s">
        <v>371</v>
      </c>
      <c r="BQ145" t="s">
        <v>375</v>
      </c>
      <c r="BR145" s="73"/>
      <c r="CX145" s="73"/>
      <c r="EQ145" s="73"/>
      <c r="FT145">
        <v>0</v>
      </c>
      <c r="FZ145" t="s">
        <v>371</v>
      </c>
      <c r="GA145" t="s">
        <v>371</v>
      </c>
      <c r="GB145" t="s">
        <v>371</v>
      </c>
      <c r="GC145" t="s">
        <v>371</v>
      </c>
      <c r="GD145" t="s">
        <v>371</v>
      </c>
      <c r="GF145" t="s">
        <v>371</v>
      </c>
      <c r="GG145" t="s">
        <v>371</v>
      </c>
      <c r="GH145" t="s">
        <v>371</v>
      </c>
      <c r="GI145" t="s">
        <v>371</v>
      </c>
      <c r="GJ145" t="s">
        <v>371</v>
      </c>
      <c r="GK145" t="s">
        <v>371</v>
      </c>
      <c r="GN145" t="s">
        <v>371</v>
      </c>
      <c r="GO145" t="s">
        <v>371</v>
      </c>
      <c r="GP145" t="s">
        <v>371</v>
      </c>
      <c r="GQ145" t="s">
        <v>371</v>
      </c>
      <c r="GR145" t="s">
        <v>371</v>
      </c>
      <c r="GS145" t="s">
        <v>371</v>
      </c>
      <c r="GT145" t="s">
        <v>371</v>
      </c>
      <c r="GU145" t="s">
        <v>371</v>
      </c>
      <c r="GV145" t="s">
        <v>371</v>
      </c>
      <c r="GW145" t="s">
        <v>371</v>
      </c>
      <c r="GX145" t="s">
        <v>371</v>
      </c>
      <c r="HA145" t="s">
        <v>375</v>
      </c>
    </row>
    <row r="146" spans="1:209" ht="14.25" customHeight="1" x14ac:dyDescent="0.25">
      <c r="A146" t="s">
        <v>493</v>
      </c>
      <c r="B146" t="s">
        <v>376</v>
      </c>
      <c r="C146">
        <v>1</v>
      </c>
      <c r="D146" t="s">
        <v>366</v>
      </c>
      <c r="E146" s="73"/>
      <c r="AA146" t="s">
        <v>377</v>
      </c>
      <c r="AB146" s="73">
        <v>46191</v>
      </c>
      <c r="AC146" t="s">
        <v>397</v>
      </c>
      <c r="AF146" t="s">
        <v>379</v>
      </c>
      <c r="AI146" t="s">
        <v>400</v>
      </c>
      <c r="AJ146">
        <v>0</v>
      </c>
      <c r="AK146" t="s">
        <v>372</v>
      </c>
      <c r="AP146" t="s">
        <v>374</v>
      </c>
      <c r="AQ146" s="73"/>
      <c r="BR146" s="73"/>
      <c r="CX146" s="73"/>
      <c r="EQ146" s="73"/>
    </row>
    <row r="147" spans="1:209" ht="14.25" customHeight="1" x14ac:dyDescent="0.25">
      <c r="A147" t="s">
        <v>493</v>
      </c>
      <c r="B147" t="s">
        <v>381</v>
      </c>
      <c r="C147">
        <v>1</v>
      </c>
      <c r="D147" t="s">
        <v>366</v>
      </c>
      <c r="E147" s="73"/>
      <c r="AB147" s="73"/>
      <c r="AQ147" s="73">
        <v>46191</v>
      </c>
      <c r="AR147" t="s">
        <v>397</v>
      </c>
      <c r="AU147" t="s">
        <v>384</v>
      </c>
      <c r="AV147" t="s">
        <v>383</v>
      </c>
      <c r="AW147" t="s">
        <v>383</v>
      </c>
      <c r="AX147" t="s">
        <v>383</v>
      </c>
      <c r="AY147" t="s">
        <v>383</v>
      </c>
      <c r="AZ147" t="s">
        <v>383</v>
      </c>
      <c r="BA147" t="s">
        <v>367</v>
      </c>
      <c r="BB147" t="s">
        <v>367</v>
      </c>
      <c r="BC147">
        <v>5</v>
      </c>
      <c r="BD147" t="s">
        <v>374</v>
      </c>
      <c r="BR147" s="73"/>
      <c r="CX147" s="73"/>
      <c r="EQ147" s="73"/>
    </row>
    <row r="148" spans="1:209" ht="14.25" customHeight="1" x14ac:dyDescent="0.25">
      <c r="A148" t="s">
        <v>495</v>
      </c>
      <c r="D148" t="s">
        <v>366</v>
      </c>
      <c r="E148" s="73">
        <v>46191</v>
      </c>
      <c r="F148" t="s">
        <v>372</v>
      </c>
      <c r="G148" t="s">
        <v>496</v>
      </c>
      <c r="H148" t="s">
        <v>403</v>
      </c>
      <c r="I148" t="s">
        <v>403</v>
      </c>
      <c r="J148">
        <v>1979</v>
      </c>
      <c r="K148" t="s">
        <v>391</v>
      </c>
      <c r="L148" t="s">
        <v>370</v>
      </c>
      <c r="M148" t="s">
        <v>371</v>
      </c>
      <c r="N148" t="s">
        <v>371</v>
      </c>
      <c r="O148" t="s">
        <v>371</v>
      </c>
      <c r="P148" t="s">
        <v>371</v>
      </c>
      <c r="Q148" t="s">
        <v>371</v>
      </c>
      <c r="R148" t="s">
        <v>372</v>
      </c>
      <c r="S148" t="s">
        <v>372</v>
      </c>
      <c r="T148" t="s">
        <v>372</v>
      </c>
      <c r="U148" t="s">
        <v>367</v>
      </c>
      <c r="W148" t="s">
        <v>367</v>
      </c>
      <c r="X148" t="s">
        <v>399</v>
      </c>
      <c r="Y148" t="s">
        <v>421</v>
      </c>
      <c r="Z148" t="s">
        <v>374</v>
      </c>
      <c r="AB148" s="73"/>
      <c r="AQ148" s="73"/>
      <c r="BG148" t="s">
        <v>371</v>
      </c>
      <c r="BH148" t="s">
        <v>371</v>
      </c>
      <c r="BI148" t="s">
        <v>371</v>
      </c>
      <c r="BJ148" t="s">
        <v>371</v>
      </c>
      <c r="BK148" t="s">
        <v>371</v>
      </c>
      <c r="BL148" t="s">
        <v>371</v>
      </c>
      <c r="BM148" t="s">
        <v>371</v>
      </c>
      <c r="BN148" t="s">
        <v>371</v>
      </c>
      <c r="BO148" t="s">
        <v>371</v>
      </c>
      <c r="BQ148" t="s">
        <v>375</v>
      </c>
      <c r="BR148" s="73"/>
      <c r="CX148" s="73"/>
      <c r="EQ148" s="73"/>
      <c r="FT148">
        <v>0</v>
      </c>
      <c r="FZ148" t="s">
        <v>371</v>
      </c>
      <c r="GA148" t="s">
        <v>371</v>
      </c>
      <c r="GB148" t="s">
        <v>371</v>
      </c>
      <c r="GC148" t="s">
        <v>371</v>
      </c>
      <c r="GD148" t="s">
        <v>371</v>
      </c>
      <c r="GF148" t="s">
        <v>371</v>
      </c>
      <c r="GG148" t="s">
        <v>371</v>
      </c>
      <c r="GH148" t="s">
        <v>371</v>
      </c>
      <c r="GI148" t="s">
        <v>371</v>
      </c>
      <c r="GJ148" t="s">
        <v>371</v>
      </c>
      <c r="GK148" t="s">
        <v>371</v>
      </c>
      <c r="GN148" t="s">
        <v>371</v>
      </c>
      <c r="GO148" t="s">
        <v>371</v>
      </c>
      <c r="GP148" t="s">
        <v>371</v>
      </c>
      <c r="GQ148" t="s">
        <v>371</v>
      </c>
      <c r="GR148" t="s">
        <v>371</v>
      </c>
      <c r="GS148" t="s">
        <v>371</v>
      </c>
      <c r="GT148" t="s">
        <v>371</v>
      </c>
      <c r="GU148" t="s">
        <v>371</v>
      </c>
      <c r="GV148" t="s">
        <v>371</v>
      </c>
      <c r="GW148" t="s">
        <v>371</v>
      </c>
      <c r="GX148" t="s">
        <v>371</v>
      </c>
      <c r="HA148" t="s">
        <v>375</v>
      </c>
    </row>
    <row r="149" spans="1:209" ht="14.25" customHeight="1" x14ac:dyDescent="0.25">
      <c r="A149" t="s">
        <v>495</v>
      </c>
      <c r="B149" t="s">
        <v>376</v>
      </c>
      <c r="C149">
        <v>1</v>
      </c>
      <c r="D149" t="s">
        <v>366</v>
      </c>
      <c r="E149" s="73"/>
      <c r="AA149" t="s">
        <v>377</v>
      </c>
      <c r="AB149" s="73">
        <v>46191</v>
      </c>
      <c r="AC149" t="s">
        <v>397</v>
      </c>
      <c r="AF149" t="s">
        <v>379</v>
      </c>
      <c r="AI149" t="s">
        <v>400</v>
      </c>
      <c r="AJ149">
        <v>0</v>
      </c>
      <c r="AK149" t="s">
        <v>372</v>
      </c>
      <c r="AP149" t="s">
        <v>374</v>
      </c>
      <c r="AQ149" s="73"/>
      <c r="BR149" s="73"/>
      <c r="CX149" s="73"/>
      <c r="EQ149" s="73"/>
    </row>
    <row r="150" spans="1:209" ht="14.25" customHeight="1" x14ac:dyDescent="0.25">
      <c r="A150" t="s">
        <v>495</v>
      </c>
      <c r="B150" t="s">
        <v>381</v>
      </c>
      <c r="C150">
        <v>1</v>
      </c>
      <c r="D150" t="s">
        <v>366</v>
      </c>
      <c r="E150" s="73"/>
      <c r="AB150" s="73"/>
      <c r="AQ150" s="73">
        <v>46191</v>
      </c>
      <c r="AR150" t="s">
        <v>394</v>
      </c>
      <c r="AU150" t="s">
        <v>384</v>
      </c>
      <c r="AV150" t="s">
        <v>383</v>
      </c>
      <c r="AW150" t="s">
        <v>384</v>
      </c>
      <c r="AX150" t="s">
        <v>385</v>
      </c>
      <c r="AY150" t="s">
        <v>383</v>
      </c>
      <c r="AZ150" t="s">
        <v>383</v>
      </c>
      <c r="BA150" t="s">
        <v>367</v>
      </c>
      <c r="BB150" t="s">
        <v>372</v>
      </c>
      <c r="BC150">
        <v>7</v>
      </c>
      <c r="BD150" t="s">
        <v>374</v>
      </c>
      <c r="BR150" s="73"/>
      <c r="CX150" s="73"/>
      <c r="EQ150" s="73"/>
    </row>
    <row r="151" spans="1:209" ht="14.25" customHeight="1" x14ac:dyDescent="0.25">
      <c r="A151" t="s">
        <v>497</v>
      </c>
      <c r="D151" t="s">
        <v>366</v>
      </c>
      <c r="E151" s="73">
        <v>46191</v>
      </c>
      <c r="F151" t="s">
        <v>367</v>
      </c>
      <c r="H151" t="s">
        <v>403</v>
      </c>
      <c r="I151" t="s">
        <v>403</v>
      </c>
      <c r="J151">
        <v>1985</v>
      </c>
      <c r="K151" t="s">
        <v>448</v>
      </c>
      <c r="L151" t="s">
        <v>370</v>
      </c>
      <c r="M151" t="s">
        <v>371</v>
      </c>
      <c r="N151" t="s">
        <v>371</v>
      </c>
      <c r="O151" t="s">
        <v>371</v>
      </c>
      <c r="P151" t="s">
        <v>371</v>
      </c>
      <c r="Q151" t="s">
        <v>371</v>
      </c>
      <c r="R151" t="s">
        <v>372</v>
      </c>
      <c r="S151" t="s">
        <v>372</v>
      </c>
      <c r="T151" t="s">
        <v>372</v>
      </c>
      <c r="U151" t="s">
        <v>367</v>
      </c>
      <c r="W151" t="s">
        <v>367</v>
      </c>
      <c r="X151" t="s">
        <v>399</v>
      </c>
      <c r="Y151" t="s">
        <v>396</v>
      </c>
      <c r="Z151" t="s">
        <v>374</v>
      </c>
      <c r="AB151" s="73"/>
      <c r="AQ151" s="73"/>
      <c r="BG151" t="s">
        <v>371</v>
      </c>
      <c r="BH151" t="s">
        <v>371</v>
      </c>
      <c r="BI151" t="s">
        <v>371</v>
      </c>
      <c r="BJ151" t="s">
        <v>371</v>
      </c>
      <c r="BK151" t="s">
        <v>371</v>
      </c>
      <c r="BL151" t="s">
        <v>371</v>
      </c>
      <c r="BM151" t="s">
        <v>371</v>
      </c>
      <c r="BN151" t="s">
        <v>371</v>
      </c>
      <c r="BO151" t="s">
        <v>371</v>
      </c>
      <c r="BQ151" t="s">
        <v>375</v>
      </c>
      <c r="BR151" s="73"/>
      <c r="CX151" s="73"/>
      <c r="EQ151" s="73"/>
      <c r="FT151">
        <v>0</v>
      </c>
      <c r="FZ151" t="s">
        <v>371</v>
      </c>
      <c r="GA151" t="s">
        <v>371</v>
      </c>
      <c r="GB151" t="s">
        <v>371</v>
      </c>
      <c r="GC151" t="s">
        <v>371</v>
      </c>
      <c r="GD151" t="s">
        <v>371</v>
      </c>
      <c r="GF151" t="s">
        <v>371</v>
      </c>
      <c r="GG151" t="s">
        <v>371</v>
      </c>
      <c r="GH151" t="s">
        <v>371</v>
      </c>
      <c r="GI151" t="s">
        <v>371</v>
      </c>
      <c r="GJ151" t="s">
        <v>371</v>
      </c>
      <c r="GK151" t="s">
        <v>371</v>
      </c>
      <c r="GN151" t="s">
        <v>371</v>
      </c>
      <c r="GO151" t="s">
        <v>371</v>
      </c>
      <c r="GP151" t="s">
        <v>371</v>
      </c>
      <c r="GQ151" t="s">
        <v>371</v>
      </c>
      <c r="GR151" t="s">
        <v>371</v>
      </c>
      <c r="GS151" t="s">
        <v>371</v>
      </c>
      <c r="GT151" t="s">
        <v>371</v>
      </c>
      <c r="GU151" t="s">
        <v>371</v>
      </c>
      <c r="GV151" t="s">
        <v>371</v>
      </c>
      <c r="GW151" t="s">
        <v>371</v>
      </c>
      <c r="GX151" t="s">
        <v>371</v>
      </c>
      <c r="HA151" t="s">
        <v>375</v>
      </c>
    </row>
    <row r="152" spans="1:209" ht="14.25" customHeight="1" x14ac:dyDescent="0.25">
      <c r="A152" t="s">
        <v>497</v>
      </c>
      <c r="B152" t="s">
        <v>376</v>
      </c>
      <c r="C152">
        <v>1</v>
      </c>
      <c r="D152" t="s">
        <v>366</v>
      </c>
      <c r="E152" s="73"/>
      <c r="AA152" t="s">
        <v>377</v>
      </c>
      <c r="AB152" s="73">
        <v>46191</v>
      </c>
      <c r="AC152" t="s">
        <v>397</v>
      </c>
      <c r="AF152" t="s">
        <v>379</v>
      </c>
      <c r="AI152" t="s">
        <v>400</v>
      </c>
      <c r="AJ152">
        <v>0</v>
      </c>
      <c r="AK152" t="s">
        <v>372</v>
      </c>
      <c r="AP152" t="s">
        <v>374</v>
      </c>
      <c r="AQ152" s="73"/>
      <c r="BR152" s="73"/>
      <c r="CX152" s="73"/>
      <c r="EQ152" s="73"/>
    </row>
    <row r="153" spans="1:209" ht="14.25" customHeight="1" x14ac:dyDescent="0.25">
      <c r="A153" t="s">
        <v>497</v>
      </c>
      <c r="B153" t="s">
        <v>381</v>
      </c>
      <c r="C153">
        <v>1</v>
      </c>
      <c r="D153" t="s">
        <v>366</v>
      </c>
      <c r="E153" s="73"/>
      <c r="AB153" s="73"/>
      <c r="AQ153" s="73">
        <v>46191</v>
      </c>
      <c r="AR153" t="s">
        <v>378</v>
      </c>
      <c r="AU153" t="s">
        <v>384</v>
      </c>
      <c r="AV153" t="s">
        <v>384</v>
      </c>
      <c r="AW153" t="s">
        <v>383</v>
      </c>
      <c r="AX153" t="s">
        <v>383</v>
      </c>
      <c r="AY153" t="s">
        <v>384</v>
      </c>
      <c r="AZ153" t="s">
        <v>383</v>
      </c>
      <c r="BA153" t="s">
        <v>367</v>
      </c>
      <c r="BB153" t="s">
        <v>367</v>
      </c>
      <c r="BC153">
        <v>3</v>
      </c>
      <c r="BD153" t="s">
        <v>374</v>
      </c>
      <c r="BR153" s="73"/>
      <c r="CX153" s="73"/>
      <c r="EQ153" s="73"/>
    </row>
    <row r="154" spans="1:209" ht="14.25" customHeight="1" x14ac:dyDescent="0.25">
      <c r="A154" t="s">
        <v>498</v>
      </c>
      <c r="D154" t="s">
        <v>366</v>
      </c>
      <c r="E154" s="73">
        <v>46191</v>
      </c>
      <c r="F154" t="s">
        <v>367</v>
      </c>
      <c r="H154" t="s">
        <v>403</v>
      </c>
      <c r="I154" t="s">
        <v>403</v>
      </c>
      <c r="J154">
        <v>1986</v>
      </c>
      <c r="K154" t="s">
        <v>448</v>
      </c>
      <c r="L154" t="s">
        <v>370</v>
      </c>
      <c r="M154" t="s">
        <v>371</v>
      </c>
      <c r="N154" t="s">
        <v>371</v>
      </c>
      <c r="O154" t="s">
        <v>371</v>
      </c>
      <c r="P154" t="s">
        <v>371</v>
      </c>
      <c r="Q154" t="s">
        <v>371</v>
      </c>
      <c r="R154" t="s">
        <v>372</v>
      </c>
      <c r="S154" t="s">
        <v>372</v>
      </c>
      <c r="T154" t="s">
        <v>372</v>
      </c>
      <c r="U154" t="s">
        <v>367</v>
      </c>
      <c r="W154" t="s">
        <v>367</v>
      </c>
      <c r="X154" t="s">
        <v>399</v>
      </c>
      <c r="Y154" t="s">
        <v>421</v>
      </c>
      <c r="Z154" t="s">
        <v>374</v>
      </c>
      <c r="AB154" s="73"/>
      <c r="AQ154" s="73"/>
      <c r="BG154" t="s">
        <v>371</v>
      </c>
      <c r="BH154" t="s">
        <v>371</v>
      </c>
      <c r="BI154" t="s">
        <v>371</v>
      </c>
      <c r="BJ154" t="s">
        <v>371</v>
      </c>
      <c r="BK154" t="s">
        <v>371</v>
      </c>
      <c r="BL154" t="s">
        <v>371</v>
      </c>
      <c r="BM154" t="s">
        <v>371</v>
      </c>
      <c r="BN154" t="s">
        <v>371</v>
      </c>
      <c r="BO154" t="s">
        <v>371</v>
      </c>
      <c r="BQ154" t="s">
        <v>375</v>
      </c>
      <c r="BR154" s="73"/>
      <c r="CX154" s="73"/>
      <c r="EQ154" s="73"/>
      <c r="FT154">
        <v>0</v>
      </c>
      <c r="FZ154" t="s">
        <v>371</v>
      </c>
      <c r="GA154" t="s">
        <v>371</v>
      </c>
      <c r="GB154" t="s">
        <v>371</v>
      </c>
      <c r="GC154" t="s">
        <v>371</v>
      </c>
      <c r="GD154" t="s">
        <v>371</v>
      </c>
      <c r="GF154" t="s">
        <v>371</v>
      </c>
      <c r="GG154" t="s">
        <v>371</v>
      </c>
      <c r="GH154" t="s">
        <v>371</v>
      </c>
      <c r="GI154" t="s">
        <v>371</v>
      </c>
      <c r="GJ154" t="s">
        <v>371</v>
      </c>
      <c r="GK154" t="s">
        <v>371</v>
      </c>
      <c r="GN154" t="s">
        <v>371</v>
      </c>
      <c r="GO154" t="s">
        <v>371</v>
      </c>
      <c r="GP154" t="s">
        <v>371</v>
      </c>
      <c r="GQ154" t="s">
        <v>371</v>
      </c>
      <c r="GR154" t="s">
        <v>371</v>
      </c>
      <c r="GS154" t="s">
        <v>371</v>
      </c>
      <c r="GT154" t="s">
        <v>371</v>
      </c>
      <c r="GU154" t="s">
        <v>371</v>
      </c>
      <c r="GV154" t="s">
        <v>371</v>
      </c>
      <c r="GW154" t="s">
        <v>371</v>
      </c>
      <c r="GX154" t="s">
        <v>371</v>
      </c>
      <c r="HA154" t="s">
        <v>375</v>
      </c>
    </row>
    <row r="155" spans="1:209" ht="14.25" customHeight="1" x14ac:dyDescent="0.25">
      <c r="A155" t="s">
        <v>498</v>
      </c>
      <c r="B155" t="s">
        <v>376</v>
      </c>
      <c r="C155">
        <v>1</v>
      </c>
      <c r="D155" t="s">
        <v>366</v>
      </c>
      <c r="E155" s="73"/>
      <c r="AA155" t="s">
        <v>377</v>
      </c>
      <c r="AB155" s="73">
        <v>46191</v>
      </c>
      <c r="AC155" t="s">
        <v>397</v>
      </c>
      <c r="AF155" t="s">
        <v>379</v>
      </c>
      <c r="AI155" t="s">
        <v>400</v>
      </c>
      <c r="AJ155">
        <v>0</v>
      </c>
      <c r="AK155" t="s">
        <v>372</v>
      </c>
      <c r="AP155" t="s">
        <v>374</v>
      </c>
      <c r="AQ155" s="73"/>
      <c r="BR155" s="73"/>
      <c r="CX155" s="73"/>
      <c r="EQ155" s="73"/>
    </row>
    <row r="156" spans="1:209" ht="14.25" customHeight="1" x14ac:dyDescent="0.25">
      <c r="A156" t="s">
        <v>498</v>
      </c>
      <c r="B156" t="s">
        <v>381</v>
      </c>
      <c r="C156">
        <v>1</v>
      </c>
      <c r="D156" t="s">
        <v>366</v>
      </c>
      <c r="E156" s="73"/>
      <c r="AB156" s="73"/>
      <c r="AQ156" s="73">
        <v>46191</v>
      </c>
      <c r="AR156" t="s">
        <v>378</v>
      </c>
      <c r="AU156" t="s">
        <v>383</v>
      </c>
      <c r="AV156" t="s">
        <v>384</v>
      </c>
      <c r="AW156" t="s">
        <v>384</v>
      </c>
      <c r="AX156" t="s">
        <v>383</v>
      </c>
      <c r="AY156" t="s">
        <v>384</v>
      </c>
      <c r="AZ156" t="s">
        <v>383</v>
      </c>
      <c r="BA156" t="s">
        <v>367</v>
      </c>
      <c r="BB156" t="s">
        <v>367</v>
      </c>
      <c r="BC156">
        <v>3</v>
      </c>
      <c r="BD156" t="s">
        <v>374</v>
      </c>
      <c r="BR156" s="73"/>
      <c r="CX156" s="73"/>
      <c r="EQ156" s="73"/>
    </row>
    <row r="157" spans="1:209" ht="14.25" customHeight="1" x14ac:dyDescent="0.25">
      <c r="A157" t="s">
        <v>499</v>
      </c>
      <c r="D157" t="s">
        <v>366</v>
      </c>
      <c r="E157" s="73">
        <v>46191</v>
      </c>
      <c r="F157" t="s">
        <v>367</v>
      </c>
      <c r="H157" t="s">
        <v>368</v>
      </c>
      <c r="I157" t="s">
        <v>368</v>
      </c>
      <c r="J157">
        <v>1969</v>
      </c>
      <c r="K157" t="s">
        <v>369</v>
      </c>
      <c r="L157" t="s">
        <v>370</v>
      </c>
      <c r="M157" t="s">
        <v>371</v>
      </c>
      <c r="N157" t="s">
        <v>371</v>
      </c>
      <c r="O157" t="s">
        <v>371</v>
      </c>
      <c r="P157" t="s">
        <v>371</v>
      </c>
      <c r="Q157" t="s">
        <v>371</v>
      </c>
      <c r="R157" t="s">
        <v>372</v>
      </c>
      <c r="S157" t="s">
        <v>372</v>
      </c>
      <c r="T157" t="s">
        <v>372</v>
      </c>
      <c r="U157" t="s">
        <v>367</v>
      </c>
      <c r="W157" t="s">
        <v>367</v>
      </c>
      <c r="X157" t="s">
        <v>373</v>
      </c>
      <c r="Y157" t="s">
        <v>396</v>
      </c>
      <c r="Z157" t="s">
        <v>374</v>
      </c>
      <c r="AB157" s="73"/>
      <c r="AQ157" s="73"/>
      <c r="BG157" t="s">
        <v>371</v>
      </c>
      <c r="BH157" t="s">
        <v>371</v>
      </c>
      <c r="BI157" t="s">
        <v>371</v>
      </c>
      <c r="BJ157" t="s">
        <v>371</v>
      </c>
      <c r="BK157" t="s">
        <v>371</v>
      </c>
      <c r="BL157" t="s">
        <v>371</v>
      </c>
      <c r="BM157" t="s">
        <v>371</v>
      </c>
      <c r="BN157" t="s">
        <v>371</v>
      </c>
      <c r="BO157" t="s">
        <v>371</v>
      </c>
      <c r="BQ157" t="s">
        <v>375</v>
      </c>
      <c r="BR157" s="73"/>
      <c r="CX157" s="73"/>
      <c r="EQ157" s="73"/>
      <c r="FT157">
        <v>0</v>
      </c>
      <c r="FZ157" t="s">
        <v>371</v>
      </c>
      <c r="GA157" t="s">
        <v>371</v>
      </c>
      <c r="GB157" t="s">
        <v>371</v>
      </c>
      <c r="GC157" t="s">
        <v>371</v>
      </c>
      <c r="GD157" t="s">
        <v>371</v>
      </c>
      <c r="GF157" t="s">
        <v>371</v>
      </c>
      <c r="GG157" t="s">
        <v>371</v>
      </c>
      <c r="GH157" t="s">
        <v>371</v>
      </c>
      <c r="GI157" t="s">
        <v>371</v>
      </c>
      <c r="GJ157" t="s">
        <v>371</v>
      </c>
      <c r="GK157" t="s">
        <v>371</v>
      </c>
      <c r="GN157" t="s">
        <v>371</v>
      </c>
      <c r="GO157" t="s">
        <v>371</v>
      </c>
      <c r="GP157" t="s">
        <v>371</v>
      </c>
      <c r="GQ157" t="s">
        <v>371</v>
      </c>
      <c r="GR157" t="s">
        <v>371</v>
      </c>
      <c r="GS157" t="s">
        <v>371</v>
      </c>
      <c r="GT157" t="s">
        <v>371</v>
      </c>
      <c r="GU157" t="s">
        <v>371</v>
      </c>
      <c r="GV157" t="s">
        <v>371</v>
      </c>
      <c r="GW157" t="s">
        <v>371</v>
      </c>
      <c r="GX157" t="s">
        <v>371</v>
      </c>
      <c r="HA157" t="s">
        <v>375</v>
      </c>
    </row>
    <row r="158" spans="1:209" ht="14.25" customHeight="1" x14ac:dyDescent="0.25">
      <c r="A158" t="s">
        <v>499</v>
      </c>
      <c r="B158" t="s">
        <v>376</v>
      </c>
      <c r="C158">
        <v>1</v>
      </c>
      <c r="D158" t="s">
        <v>366</v>
      </c>
      <c r="E158" s="73"/>
      <c r="AA158" t="s">
        <v>377</v>
      </c>
      <c r="AB158" s="73">
        <v>46191</v>
      </c>
      <c r="AC158" t="s">
        <v>434</v>
      </c>
      <c r="AF158" t="s">
        <v>379</v>
      </c>
      <c r="AI158" t="s">
        <v>400</v>
      </c>
      <c r="AJ158">
        <v>0</v>
      </c>
      <c r="AK158" t="s">
        <v>372</v>
      </c>
      <c r="AP158" t="s">
        <v>374</v>
      </c>
      <c r="AQ158" s="73"/>
      <c r="BR158" s="73"/>
      <c r="CX158" s="73"/>
      <c r="EQ158" s="73"/>
    </row>
    <row r="159" spans="1:209" ht="14.25" customHeight="1" x14ac:dyDescent="0.25">
      <c r="A159" t="s">
        <v>499</v>
      </c>
      <c r="B159" t="s">
        <v>381</v>
      </c>
      <c r="C159">
        <v>1</v>
      </c>
      <c r="D159" t="s">
        <v>366</v>
      </c>
      <c r="E159" s="73"/>
      <c r="AB159" s="73"/>
      <c r="AQ159" s="73">
        <v>46191</v>
      </c>
      <c r="AR159" t="s">
        <v>382</v>
      </c>
      <c r="AU159" t="s">
        <v>384</v>
      </c>
      <c r="AV159" t="s">
        <v>385</v>
      </c>
      <c r="AW159" t="s">
        <v>384</v>
      </c>
      <c r="AX159" t="s">
        <v>385</v>
      </c>
      <c r="AY159" t="s">
        <v>384</v>
      </c>
      <c r="AZ159" t="s">
        <v>384</v>
      </c>
      <c r="BA159" t="s">
        <v>367</v>
      </c>
      <c r="BB159" t="s">
        <v>367</v>
      </c>
      <c r="BC159">
        <v>4</v>
      </c>
      <c r="BD159" t="s">
        <v>374</v>
      </c>
      <c r="BR159" s="73"/>
      <c r="CX159" s="73"/>
      <c r="EQ159" s="73"/>
    </row>
    <row r="160" spans="1:209" ht="14.25" customHeight="1" x14ac:dyDescent="0.25">
      <c r="A160" t="s">
        <v>500</v>
      </c>
      <c r="D160" t="s">
        <v>366</v>
      </c>
      <c r="E160" s="73">
        <v>46192</v>
      </c>
      <c r="F160" t="s">
        <v>367</v>
      </c>
      <c r="H160" t="s">
        <v>403</v>
      </c>
      <c r="I160" t="s">
        <v>403</v>
      </c>
      <c r="J160">
        <v>2005</v>
      </c>
      <c r="K160" t="s">
        <v>391</v>
      </c>
      <c r="L160" t="s">
        <v>370</v>
      </c>
      <c r="M160" t="s">
        <v>371</v>
      </c>
      <c r="N160" t="s">
        <v>371</v>
      </c>
      <c r="O160" t="s">
        <v>371</v>
      </c>
      <c r="P160" t="s">
        <v>371</v>
      </c>
      <c r="Q160" t="s">
        <v>371</v>
      </c>
      <c r="R160" t="s">
        <v>372</v>
      </c>
      <c r="S160" t="s">
        <v>372</v>
      </c>
      <c r="T160" t="s">
        <v>372</v>
      </c>
      <c r="U160" t="s">
        <v>367</v>
      </c>
      <c r="W160" t="s">
        <v>367</v>
      </c>
      <c r="X160" t="s">
        <v>373</v>
      </c>
      <c r="Y160" t="s">
        <v>367</v>
      </c>
      <c r="Z160" t="s">
        <v>374</v>
      </c>
      <c r="AB160" s="73"/>
      <c r="AQ160" s="73"/>
      <c r="BG160" t="s">
        <v>371</v>
      </c>
      <c r="BH160" t="s">
        <v>371</v>
      </c>
      <c r="BI160" t="s">
        <v>371</v>
      </c>
      <c r="BJ160" t="s">
        <v>371</v>
      </c>
      <c r="BK160" t="s">
        <v>371</v>
      </c>
      <c r="BL160" t="s">
        <v>371</v>
      </c>
      <c r="BM160" t="s">
        <v>371</v>
      </c>
      <c r="BN160" t="s">
        <v>371</v>
      </c>
      <c r="BO160" t="s">
        <v>371</v>
      </c>
      <c r="BQ160" t="s">
        <v>375</v>
      </c>
      <c r="BR160" s="73"/>
      <c r="CX160" s="73"/>
      <c r="EQ160" s="73"/>
      <c r="FT160">
        <v>0</v>
      </c>
      <c r="FZ160" t="s">
        <v>371</v>
      </c>
      <c r="GA160" t="s">
        <v>371</v>
      </c>
      <c r="GB160" t="s">
        <v>371</v>
      </c>
      <c r="GC160" t="s">
        <v>371</v>
      </c>
      <c r="GD160" t="s">
        <v>371</v>
      </c>
      <c r="GF160" t="s">
        <v>371</v>
      </c>
      <c r="GG160" t="s">
        <v>371</v>
      </c>
      <c r="GH160" t="s">
        <v>371</v>
      </c>
      <c r="GI160" t="s">
        <v>371</v>
      </c>
      <c r="GJ160" t="s">
        <v>371</v>
      </c>
      <c r="GK160" t="s">
        <v>371</v>
      </c>
      <c r="GN160" t="s">
        <v>371</v>
      </c>
      <c r="GO160" t="s">
        <v>371</v>
      </c>
      <c r="GP160" t="s">
        <v>371</v>
      </c>
      <c r="GQ160" t="s">
        <v>371</v>
      </c>
      <c r="GR160" t="s">
        <v>371</v>
      </c>
      <c r="GS160" t="s">
        <v>371</v>
      </c>
      <c r="GT160" t="s">
        <v>371</v>
      </c>
      <c r="GU160" t="s">
        <v>371</v>
      </c>
      <c r="GV160" t="s">
        <v>371</v>
      </c>
      <c r="GW160" t="s">
        <v>371</v>
      </c>
      <c r="GX160" t="s">
        <v>371</v>
      </c>
      <c r="HA160" t="s">
        <v>375</v>
      </c>
    </row>
    <row r="161" spans="1:209" ht="14.25" customHeight="1" x14ac:dyDescent="0.25">
      <c r="A161" t="s">
        <v>500</v>
      </c>
      <c r="B161" t="s">
        <v>376</v>
      </c>
      <c r="C161">
        <v>1</v>
      </c>
      <c r="D161" t="s">
        <v>366</v>
      </c>
      <c r="E161" s="73"/>
      <c r="AA161" t="s">
        <v>377</v>
      </c>
      <c r="AB161" s="73">
        <v>46192</v>
      </c>
      <c r="AC161" t="s">
        <v>382</v>
      </c>
      <c r="AF161" t="s">
        <v>379</v>
      </c>
      <c r="AI161" t="s">
        <v>485</v>
      </c>
      <c r="AJ161">
        <v>0</v>
      </c>
      <c r="AK161" t="s">
        <v>372</v>
      </c>
      <c r="AP161" t="s">
        <v>374</v>
      </c>
      <c r="AQ161" s="73"/>
      <c r="BR161" s="73"/>
      <c r="CX161" s="73"/>
      <c r="EQ161" s="73"/>
    </row>
    <row r="162" spans="1:209" ht="14.25" customHeight="1" x14ac:dyDescent="0.25">
      <c r="A162" t="s">
        <v>500</v>
      </c>
      <c r="B162" t="s">
        <v>381</v>
      </c>
      <c r="C162">
        <v>1</v>
      </c>
      <c r="D162" t="s">
        <v>366</v>
      </c>
      <c r="E162" s="73"/>
      <c r="AB162" s="73"/>
      <c r="AQ162" s="73">
        <v>46192</v>
      </c>
      <c r="AR162" t="s">
        <v>382</v>
      </c>
      <c r="AU162" t="s">
        <v>384</v>
      </c>
      <c r="AV162" t="s">
        <v>383</v>
      </c>
      <c r="AW162" t="s">
        <v>384</v>
      </c>
      <c r="AX162" t="s">
        <v>383</v>
      </c>
      <c r="AY162" t="s">
        <v>384</v>
      </c>
      <c r="AZ162" t="s">
        <v>384</v>
      </c>
      <c r="BA162" t="s">
        <v>367</v>
      </c>
      <c r="BB162" t="s">
        <v>367</v>
      </c>
      <c r="BC162">
        <v>2</v>
      </c>
      <c r="BD162" t="s">
        <v>374</v>
      </c>
      <c r="BR162" s="73"/>
      <c r="CX162" s="73"/>
      <c r="EQ162" s="73"/>
    </row>
    <row r="163" spans="1:209" ht="14.25" customHeight="1" x14ac:dyDescent="0.25">
      <c r="A163" t="s">
        <v>501</v>
      </c>
      <c r="D163" t="s">
        <v>366</v>
      </c>
      <c r="E163" s="73">
        <v>46192</v>
      </c>
      <c r="F163" t="s">
        <v>367</v>
      </c>
      <c r="H163" t="s">
        <v>368</v>
      </c>
      <c r="I163" t="s">
        <v>368</v>
      </c>
      <c r="J163">
        <v>1987</v>
      </c>
      <c r="K163" t="s">
        <v>369</v>
      </c>
      <c r="L163" t="s">
        <v>370</v>
      </c>
      <c r="M163" t="s">
        <v>371</v>
      </c>
      <c r="N163" t="s">
        <v>371</v>
      </c>
      <c r="O163" t="s">
        <v>371</v>
      </c>
      <c r="P163" t="s">
        <v>371</v>
      </c>
      <c r="Q163" t="s">
        <v>371</v>
      </c>
      <c r="R163" t="s">
        <v>367</v>
      </c>
      <c r="S163" t="s">
        <v>372</v>
      </c>
      <c r="T163" t="s">
        <v>367</v>
      </c>
      <c r="U163" t="s">
        <v>367</v>
      </c>
      <c r="W163" t="s">
        <v>367</v>
      </c>
      <c r="X163" t="s">
        <v>399</v>
      </c>
      <c r="Y163" t="s">
        <v>396</v>
      </c>
      <c r="Z163" t="s">
        <v>374</v>
      </c>
      <c r="AB163" s="73"/>
      <c r="AQ163" s="73"/>
      <c r="BG163" t="s">
        <v>371</v>
      </c>
      <c r="BH163" t="s">
        <v>371</v>
      </c>
      <c r="BI163" t="s">
        <v>371</v>
      </c>
      <c r="BJ163" t="s">
        <v>371</v>
      </c>
      <c r="BK163" t="s">
        <v>371</v>
      </c>
      <c r="BL163" t="s">
        <v>371</v>
      </c>
      <c r="BM163" t="s">
        <v>371</v>
      </c>
      <c r="BN163" t="s">
        <v>371</v>
      </c>
      <c r="BO163" t="s">
        <v>371</v>
      </c>
      <c r="BQ163" t="s">
        <v>375</v>
      </c>
      <c r="BR163" s="73"/>
      <c r="CX163" s="73"/>
      <c r="EQ163" s="73"/>
      <c r="FT163">
        <v>0</v>
      </c>
      <c r="FZ163" t="s">
        <v>371</v>
      </c>
      <c r="GA163" t="s">
        <v>371</v>
      </c>
      <c r="GB163" t="s">
        <v>371</v>
      </c>
      <c r="GC163" t="s">
        <v>371</v>
      </c>
      <c r="GD163" t="s">
        <v>371</v>
      </c>
      <c r="GF163" t="s">
        <v>371</v>
      </c>
      <c r="GG163" t="s">
        <v>371</v>
      </c>
      <c r="GH163" t="s">
        <v>371</v>
      </c>
      <c r="GI163" t="s">
        <v>371</v>
      </c>
      <c r="GJ163" t="s">
        <v>371</v>
      </c>
      <c r="GK163" t="s">
        <v>371</v>
      </c>
      <c r="GN163" t="s">
        <v>371</v>
      </c>
      <c r="GO163" t="s">
        <v>371</v>
      </c>
      <c r="GP163" t="s">
        <v>371</v>
      </c>
      <c r="GQ163" t="s">
        <v>371</v>
      </c>
      <c r="GR163" t="s">
        <v>371</v>
      </c>
      <c r="GS163" t="s">
        <v>371</v>
      </c>
      <c r="GT163" t="s">
        <v>371</v>
      </c>
      <c r="GU163" t="s">
        <v>371</v>
      </c>
      <c r="GV163" t="s">
        <v>371</v>
      </c>
      <c r="GW163" t="s">
        <v>371</v>
      </c>
      <c r="GX163" t="s">
        <v>371</v>
      </c>
      <c r="HA163" t="s">
        <v>375</v>
      </c>
    </row>
    <row r="164" spans="1:209" ht="14.25" customHeight="1" x14ac:dyDescent="0.25">
      <c r="A164" t="s">
        <v>501</v>
      </c>
      <c r="B164" t="s">
        <v>376</v>
      </c>
      <c r="C164">
        <v>1</v>
      </c>
      <c r="D164" t="s">
        <v>366</v>
      </c>
      <c r="E164" s="73"/>
      <c r="AA164" t="s">
        <v>377</v>
      </c>
      <c r="AB164" s="73">
        <v>46192</v>
      </c>
      <c r="AC164" t="s">
        <v>434</v>
      </c>
      <c r="AF164" t="s">
        <v>379</v>
      </c>
      <c r="AI164" t="s">
        <v>380</v>
      </c>
      <c r="AJ164">
        <v>0</v>
      </c>
      <c r="AK164" t="s">
        <v>372</v>
      </c>
      <c r="AP164" t="s">
        <v>374</v>
      </c>
      <c r="AQ164" s="73"/>
      <c r="BR164" s="73"/>
      <c r="CX164" s="73"/>
      <c r="EQ164" s="73"/>
    </row>
    <row r="165" spans="1:209" ht="14.25" customHeight="1" x14ac:dyDescent="0.25">
      <c r="A165" t="s">
        <v>501</v>
      </c>
      <c r="B165" t="s">
        <v>381</v>
      </c>
      <c r="C165">
        <v>1</v>
      </c>
      <c r="D165" t="s">
        <v>366</v>
      </c>
      <c r="E165" s="73"/>
      <c r="AB165" s="73"/>
      <c r="AQ165" s="73">
        <v>46192</v>
      </c>
      <c r="AR165" t="s">
        <v>397</v>
      </c>
      <c r="AU165" t="s">
        <v>384</v>
      </c>
      <c r="AV165" t="s">
        <v>384</v>
      </c>
      <c r="AW165" t="s">
        <v>384</v>
      </c>
      <c r="AX165" t="s">
        <v>383</v>
      </c>
      <c r="AY165" t="s">
        <v>384</v>
      </c>
      <c r="AZ165" t="s">
        <v>383</v>
      </c>
      <c r="BA165" t="s">
        <v>367</v>
      </c>
      <c r="BB165" t="s">
        <v>372</v>
      </c>
      <c r="BC165">
        <v>4</v>
      </c>
      <c r="BD165" t="s">
        <v>374</v>
      </c>
      <c r="BR165" s="73"/>
      <c r="CX165" s="73"/>
      <c r="EQ165" s="73"/>
    </row>
    <row r="166" spans="1:209" ht="14.25" customHeight="1" x14ac:dyDescent="0.25">
      <c r="A166" t="s">
        <v>502</v>
      </c>
      <c r="D166" t="s">
        <v>366</v>
      </c>
      <c r="E166" s="73">
        <v>46192</v>
      </c>
      <c r="F166" t="s">
        <v>367</v>
      </c>
      <c r="H166" t="s">
        <v>368</v>
      </c>
      <c r="I166" t="s">
        <v>368</v>
      </c>
      <c r="J166">
        <v>1973</v>
      </c>
      <c r="K166" t="s">
        <v>369</v>
      </c>
      <c r="L166" t="s">
        <v>371</v>
      </c>
      <c r="M166" t="s">
        <v>371</v>
      </c>
      <c r="N166" t="s">
        <v>370</v>
      </c>
      <c r="O166" t="s">
        <v>371</v>
      </c>
      <c r="P166" t="s">
        <v>371</v>
      </c>
      <c r="Q166" t="s">
        <v>371</v>
      </c>
      <c r="R166" t="s">
        <v>372</v>
      </c>
      <c r="S166" t="s">
        <v>372</v>
      </c>
      <c r="T166" t="s">
        <v>367</v>
      </c>
      <c r="U166" t="s">
        <v>367</v>
      </c>
      <c r="W166" t="s">
        <v>367</v>
      </c>
      <c r="X166" t="s">
        <v>432</v>
      </c>
      <c r="Y166" t="s">
        <v>396</v>
      </c>
      <c r="Z166" t="s">
        <v>374</v>
      </c>
      <c r="AB166" s="73"/>
      <c r="AQ166" s="73"/>
      <c r="BG166" t="s">
        <v>371</v>
      </c>
      <c r="BH166" t="s">
        <v>371</v>
      </c>
      <c r="BI166" t="s">
        <v>371</v>
      </c>
      <c r="BJ166" t="s">
        <v>371</v>
      </c>
      <c r="BK166" t="s">
        <v>371</v>
      </c>
      <c r="BL166" t="s">
        <v>371</v>
      </c>
      <c r="BM166" t="s">
        <v>371</v>
      </c>
      <c r="BN166" t="s">
        <v>371</v>
      </c>
      <c r="BO166" t="s">
        <v>371</v>
      </c>
      <c r="BQ166" t="s">
        <v>375</v>
      </c>
      <c r="BR166" s="73"/>
      <c r="CX166" s="73"/>
      <c r="EQ166" s="73"/>
      <c r="FT166">
        <v>0</v>
      </c>
      <c r="FZ166" t="s">
        <v>371</v>
      </c>
      <c r="GA166" t="s">
        <v>371</v>
      </c>
      <c r="GB166" t="s">
        <v>371</v>
      </c>
      <c r="GC166" t="s">
        <v>371</v>
      </c>
      <c r="GD166" t="s">
        <v>371</v>
      </c>
      <c r="GF166" t="s">
        <v>371</v>
      </c>
      <c r="GG166" t="s">
        <v>371</v>
      </c>
      <c r="GH166" t="s">
        <v>371</v>
      </c>
      <c r="GI166" t="s">
        <v>371</v>
      </c>
      <c r="GJ166" t="s">
        <v>371</v>
      </c>
      <c r="GK166" t="s">
        <v>371</v>
      </c>
      <c r="GN166" t="s">
        <v>371</v>
      </c>
      <c r="GO166" t="s">
        <v>371</v>
      </c>
      <c r="GP166" t="s">
        <v>371</v>
      </c>
      <c r="GQ166" t="s">
        <v>371</v>
      </c>
      <c r="GR166" t="s">
        <v>371</v>
      </c>
      <c r="GS166" t="s">
        <v>371</v>
      </c>
      <c r="GT166" t="s">
        <v>371</v>
      </c>
      <c r="GU166" t="s">
        <v>371</v>
      </c>
      <c r="GV166" t="s">
        <v>371</v>
      </c>
      <c r="GW166" t="s">
        <v>371</v>
      </c>
      <c r="GX166" t="s">
        <v>371</v>
      </c>
      <c r="HA166" t="s">
        <v>375</v>
      </c>
    </row>
    <row r="167" spans="1:209" ht="14.25" customHeight="1" x14ac:dyDescent="0.25">
      <c r="A167" t="s">
        <v>502</v>
      </c>
      <c r="B167" t="s">
        <v>376</v>
      </c>
      <c r="C167">
        <v>1</v>
      </c>
      <c r="D167" t="s">
        <v>366</v>
      </c>
      <c r="E167" s="73"/>
      <c r="AA167" t="s">
        <v>377</v>
      </c>
      <c r="AB167" s="73">
        <v>46192</v>
      </c>
      <c r="AC167" t="s">
        <v>434</v>
      </c>
      <c r="AF167" t="s">
        <v>379</v>
      </c>
      <c r="AI167" t="s">
        <v>380</v>
      </c>
      <c r="AJ167">
        <v>0</v>
      </c>
      <c r="AK167" t="s">
        <v>372</v>
      </c>
      <c r="AP167" t="s">
        <v>374</v>
      </c>
      <c r="AQ167" s="73"/>
      <c r="BR167" s="73"/>
      <c r="CX167" s="73"/>
      <c r="EQ167" s="73"/>
    </row>
    <row r="168" spans="1:209" ht="14.25" customHeight="1" x14ac:dyDescent="0.25">
      <c r="A168" t="s">
        <v>502</v>
      </c>
      <c r="B168" t="s">
        <v>381</v>
      </c>
      <c r="C168">
        <v>1</v>
      </c>
      <c r="D168" t="s">
        <v>366</v>
      </c>
      <c r="E168" s="73"/>
      <c r="AB168" s="73"/>
      <c r="AQ168" s="73">
        <v>46192</v>
      </c>
      <c r="AR168" t="s">
        <v>378</v>
      </c>
      <c r="AU168" t="s">
        <v>383</v>
      </c>
      <c r="AV168" t="s">
        <v>384</v>
      </c>
      <c r="AW168" t="s">
        <v>383</v>
      </c>
      <c r="AX168" t="s">
        <v>383</v>
      </c>
      <c r="AY168" t="s">
        <v>384</v>
      </c>
      <c r="AZ168" t="s">
        <v>383</v>
      </c>
      <c r="BA168" t="s">
        <v>367</v>
      </c>
      <c r="BB168" t="s">
        <v>367</v>
      </c>
      <c r="BC168">
        <v>4</v>
      </c>
      <c r="BD168" t="s">
        <v>374</v>
      </c>
      <c r="BR168" s="73"/>
      <c r="CX168" s="73"/>
      <c r="EQ168" s="73"/>
    </row>
    <row r="169" spans="1:209" ht="14.25" customHeight="1" x14ac:dyDescent="0.25">
      <c r="A169" t="s">
        <v>503</v>
      </c>
      <c r="D169" t="s">
        <v>366</v>
      </c>
      <c r="E169" s="73">
        <v>46192</v>
      </c>
      <c r="F169" t="s">
        <v>367</v>
      </c>
      <c r="H169" t="s">
        <v>368</v>
      </c>
      <c r="I169" t="s">
        <v>368</v>
      </c>
      <c r="J169">
        <v>2007</v>
      </c>
      <c r="K169" t="s">
        <v>369</v>
      </c>
      <c r="L169" t="s">
        <v>370</v>
      </c>
      <c r="M169" t="s">
        <v>371</v>
      </c>
      <c r="N169" t="s">
        <v>371</v>
      </c>
      <c r="O169" t="s">
        <v>371</v>
      </c>
      <c r="P169" t="s">
        <v>371</v>
      </c>
      <c r="Q169" t="s">
        <v>371</v>
      </c>
      <c r="R169" t="s">
        <v>372</v>
      </c>
      <c r="S169" t="s">
        <v>367</v>
      </c>
      <c r="T169" t="s">
        <v>372</v>
      </c>
      <c r="U169" t="s">
        <v>367</v>
      </c>
      <c r="W169" t="s">
        <v>367</v>
      </c>
      <c r="X169" t="s">
        <v>373</v>
      </c>
      <c r="Y169" t="s">
        <v>367</v>
      </c>
      <c r="Z169" t="s">
        <v>374</v>
      </c>
      <c r="AB169" s="73"/>
      <c r="AQ169" s="73"/>
      <c r="BG169" t="s">
        <v>371</v>
      </c>
      <c r="BH169" t="s">
        <v>371</v>
      </c>
      <c r="BI169" t="s">
        <v>371</v>
      </c>
      <c r="BJ169" t="s">
        <v>371</v>
      </c>
      <c r="BK169" t="s">
        <v>371</v>
      </c>
      <c r="BL169" t="s">
        <v>371</v>
      </c>
      <c r="BM169" t="s">
        <v>371</v>
      </c>
      <c r="BN169" t="s">
        <v>371</v>
      </c>
      <c r="BO169" t="s">
        <v>371</v>
      </c>
      <c r="BQ169" t="s">
        <v>375</v>
      </c>
      <c r="BR169" s="73"/>
      <c r="CX169" s="73"/>
      <c r="EQ169" s="73"/>
      <c r="FT169">
        <v>0</v>
      </c>
      <c r="FZ169" t="s">
        <v>371</v>
      </c>
      <c r="GA169" t="s">
        <v>371</v>
      </c>
      <c r="GB169" t="s">
        <v>371</v>
      </c>
      <c r="GC169" t="s">
        <v>371</v>
      </c>
      <c r="GD169" t="s">
        <v>371</v>
      </c>
      <c r="GF169" t="s">
        <v>371</v>
      </c>
      <c r="GG169" t="s">
        <v>371</v>
      </c>
      <c r="GH169" t="s">
        <v>371</v>
      </c>
      <c r="GI169" t="s">
        <v>371</v>
      </c>
      <c r="GJ169" t="s">
        <v>371</v>
      </c>
      <c r="GK169" t="s">
        <v>371</v>
      </c>
      <c r="GN169" t="s">
        <v>371</v>
      </c>
      <c r="GO169" t="s">
        <v>371</v>
      </c>
      <c r="GP169" t="s">
        <v>371</v>
      </c>
      <c r="GQ169" t="s">
        <v>371</v>
      </c>
      <c r="GR169" t="s">
        <v>371</v>
      </c>
      <c r="GS169" t="s">
        <v>371</v>
      </c>
      <c r="GT169" t="s">
        <v>371</v>
      </c>
      <c r="GU169" t="s">
        <v>371</v>
      </c>
      <c r="GV169" t="s">
        <v>371</v>
      </c>
      <c r="GW169" t="s">
        <v>371</v>
      </c>
      <c r="GX169" t="s">
        <v>371</v>
      </c>
      <c r="HA169" t="s">
        <v>375</v>
      </c>
    </row>
    <row r="170" spans="1:209" ht="14.25" customHeight="1" x14ac:dyDescent="0.25">
      <c r="A170" t="s">
        <v>503</v>
      </c>
      <c r="B170" t="s">
        <v>376</v>
      </c>
      <c r="C170">
        <v>1</v>
      </c>
      <c r="D170" t="s">
        <v>366</v>
      </c>
      <c r="E170" s="73"/>
      <c r="AA170" t="s">
        <v>377</v>
      </c>
      <c r="AB170" s="73">
        <v>46192</v>
      </c>
      <c r="AC170" t="s">
        <v>434</v>
      </c>
      <c r="AF170" t="s">
        <v>379</v>
      </c>
      <c r="AI170" t="s">
        <v>380</v>
      </c>
      <c r="AJ170">
        <v>0</v>
      </c>
      <c r="AK170" t="s">
        <v>372</v>
      </c>
      <c r="AP170" t="s">
        <v>374</v>
      </c>
      <c r="AQ170" s="73"/>
      <c r="BR170" s="73"/>
      <c r="CX170" s="73"/>
      <c r="EQ170" s="73"/>
    </row>
    <row r="171" spans="1:209" ht="14.25" customHeight="1" x14ac:dyDescent="0.25">
      <c r="A171" t="s">
        <v>503</v>
      </c>
      <c r="B171" t="s">
        <v>381</v>
      </c>
      <c r="C171">
        <v>1</v>
      </c>
      <c r="D171" t="s">
        <v>366</v>
      </c>
      <c r="E171" s="73"/>
      <c r="AB171" s="73"/>
      <c r="AQ171" s="73">
        <v>46192</v>
      </c>
      <c r="AR171" t="s">
        <v>394</v>
      </c>
      <c r="AU171" t="s">
        <v>383</v>
      </c>
      <c r="AV171" t="s">
        <v>383</v>
      </c>
      <c r="AW171" t="s">
        <v>384</v>
      </c>
      <c r="AX171" t="s">
        <v>383</v>
      </c>
      <c r="AY171" t="s">
        <v>384</v>
      </c>
      <c r="AZ171" t="s">
        <v>384</v>
      </c>
      <c r="BA171" t="s">
        <v>367</v>
      </c>
      <c r="BB171" t="s">
        <v>367</v>
      </c>
      <c r="BC171">
        <v>3</v>
      </c>
      <c r="BD171" t="s">
        <v>374</v>
      </c>
      <c r="BR171" s="73"/>
      <c r="CX171" s="73"/>
      <c r="EQ171" s="73"/>
    </row>
    <row r="172" spans="1:209" ht="14.25" customHeight="1" x14ac:dyDescent="0.25">
      <c r="A172" t="s">
        <v>504</v>
      </c>
      <c r="D172" t="s">
        <v>366</v>
      </c>
      <c r="E172" s="73">
        <v>46192</v>
      </c>
      <c r="F172" t="s">
        <v>367</v>
      </c>
      <c r="H172" t="s">
        <v>368</v>
      </c>
      <c r="I172" t="s">
        <v>368</v>
      </c>
      <c r="J172">
        <v>2007</v>
      </c>
      <c r="K172" t="s">
        <v>369</v>
      </c>
      <c r="L172" t="s">
        <v>370</v>
      </c>
      <c r="M172" t="s">
        <v>371</v>
      </c>
      <c r="N172" t="s">
        <v>371</v>
      </c>
      <c r="O172" t="s">
        <v>371</v>
      </c>
      <c r="P172" t="s">
        <v>371</v>
      </c>
      <c r="Q172" t="s">
        <v>371</v>
      </c>
      <c r="R172" t="s">
        <v>372</v>
      </c>
      <c r="S172" t="s">
        <v>372</v>
      </c>
      <c r="T172" t="s">
        <v>372</v>
      </c>
      <c r="U172" t="s">
        <v>367</v>
      </c>
      <c r="W172" t="s">
        <v>367</v>
      </c>
      <c r="X172" t="s">
        <v>373</v>
      </c>
      <c r="Y172" t="s">
        <v>367</v>
      </c>
      <c r="Z172" t="s">
        <v>374</v>
      </c>
      <c r="AB172" s="73"/>
      <c r="AQ172" s="73"/>
      <c r="BG172" t="s">
        <v>371</v>
      </c>
      <c r="BH172" t="s">
        <v>371</v>
      </c>
      <c r="BI172" t="s">
        <v>371</v>
      </c>
      <c r="BJ172" t="s">
        <v>371</v>
      </c>
      <c r="BK172" t="s">
        <v>371</v>
      </c>
      <c r="BL172" t="s">
        <v>371</v>
      </c>
      <c r="BM172" t="s">
        <v>371</v>
      </c>
      <c r="BN172" t="s">
        <v>371</v>
      </c>
      <c r="BO172" t="s">
        <v>371</v>
      </c>
      <c r="BQ172" t="s">
        <v>375</v>
      </c>
      <c r="BR172" s="73"/>
      <c r="CX172" s="73"/>
      <c r="EQ172" s="73"/>
      <c r="FT172">
        <v>0</v>
      </c>
      <c r="FZ172" t="s">
        <v>371</v>
      </c>
      <c r="GA172" t="s">
        <v>371</v>
      </c>
      <c r="GB172" t="s">
        <v>371</v>
      </c>
      <c r="GC172" t="s">
        <v>371</v>
      </c>
      <c r="GD172" t="s">
        <v>371</v>
      </c>
      <c r="GF172" t="s">
        <v>371</v>
      </c>
      <c r="GG172" t="s">
        <v>371</v>
      </c>
      <c r="GH172" t="s">
        <v>371</v>
      </c>
      <c r="GI172" t="s">
        <v>371</v>
      </c>
      <c r="GJ172" t="s">
        <v>371</v>
      </c>
      <c r="GK172" t="s">
        <v>371</v>
      </c>
      <c r="GN172" t="s">
        <v>371</v>
      </c>
      <c r="GO172" t="s">
        <v>371</v>
      </c>
      <c r="GP172" t="s">
        <v>371</v>
      </c>
      <c r="GQ172" t="s">
        <v>371</v>
      </c>
      <c r="GR172" t="s">
        <v>371</v>
      </c>
      <c r="GS172" t="s">
        <v>371</v>
      </c>
      <c r="GT172" t="s">
        <v>371</v>
      </c>
      <c r="GU172" t="s">
        <v>371</v>
      </c>
      <c r="GV172" t="s">
        <v>371</v>
      </c>
      <c r="GW172" t="s">
        <v>371</v>
      </c>
      <c r="GX172" t="s">
        <v>371</v>
      </c>
      <c r="HA172" t="s">
        <v>375</v>
      </c>
    </row>
    <row r="173" spans="1:209" ht="14.25" customHeight="1" x14ac:dyDescent="0.25">
      <c r="A173" t="s">
        <v>504</v>
      </c>
      <c r="B173" t="s">
        <v>376</v>
      </c>
      <c r="C173">
        <v>1</v>
      </c>
      <c r="D173" t="s">
        <v>366</v>
      </c>
      <c r="E173" s="73"/>
      <c r="AA173" t="s">
        <v>377</v>
      </c>
      <c r="AB173" s="73">
        <v>46192</v>
      </c>
      <c r="AC173" t="s">
        <v>434</v>
      </c>
      <c r="AF173" t="s">
        <v>379</v>
      </c>
      <c r="AI173" t="s">
        <v>380</v>
      </c>
      <c r="AJ173">
        <v>0</v>
      </c>
      <c r="AK173" t="s">
        <v>372</v>
      </c>
      <c r="AP173" t="s">
        <v>374</v>
      </c>
      <c r="AQ173" s="73"/>
      <c r="BR173" s="73"/>
      <c r="CX173" s="73"/>
      <c r="EQ173" s="73"/>
    </row>
    <row r="174" spans="1:209" ht="14.25" customHeight="1" x14ac:dyDescent="0.25">
      <c r="A174" t="s">
        <v>504</v>
      </c>
      <c r="B174" t="s">
        <v>381</v>
      </c>
      <c r="C174">
        <v>1</v>
      </c>
      <c r="D174" t="s">
        <v>366</v>
      </c>
      <c r="E174" s="73"/>
      <c r="AB174" s="73"/>
      <c r="AQ174" s="73">
        <v>46192</v>
      </c>
      <c r="AR174" t="s">
        <v>394</v>
      </c>
      <c r="AU174" t="s">
        <v>383</v>
      </c>
      <c r="AV174" t="s">
        <v>383</v>
      </c>
      <c r="AW174" t="s">
        <v>384</v>
      </c>
      <c r="AX174" t="s">
        <v>385</v>
      </c>
      <c r="AY174" t="s">
        <v>383</v>
      </c>
      <c r="AZ174" t="s">
        <v>384</v>
      </c>
      <c r="BA174" t="s">
        <v>367</v>
      </c>
      <c r="BB174" t="s">
        <v>367</v>
      </c>
      <c r="BC174">
        <v>5</v>
      </c>
      <c r="BD174" t="s">
        <v>374</v>
      </c>
      <c r="BR174" s="73"/>
      <c r="CX174" s="73"/>
      <c r="EQ174" s="73"/>
    </row>
    <row r="175" spans="1:209" ht="14.25" customHeight="1" x14ac:dyDescent="0.25">
      <c r="A175" t="s">
        <v>505</v>
      </c>
      <c r="D175" t="s">
        <v>366</v>
      </c>
      <c r="E175" s="73">
        <v>46192</v>
      </c>
      <c r="F175" t="s">
        <v>367</v>
      </c>
      <c r="H175" t="s">
        <v>403</v>
      </c>
      <c r="I175" t="s">
        <v>403</v>
      </c>
      <c r="J175">
        <v>1995</v>
      </c>
      <c r="K175" t="s">
        <v>369</v>
      </c>
      <c r="L175" t="s">
        <v>370</v>
      </c>
      <c r="M175" t="s">
        <v>371</v>
      </c>
      <c r="N175" t="s">
        <v>371</v>
      </c>
      <c r="O175" t="s">
        <v>371</v>
      </c>
      <c r="P175" t="s">
        <v>371</v>
      </c>
      <c r="Q175" t="s">
        <v>371</v>
      </c>
      <c r="R175" t="s">
        <v>372</v>
      </c>
      <c r="S175" t="s">
        <v>372</v>
      </c>
      <c r="T175" t="s">
        <v>372</v>
      </c>
      <c r="U175" t="s">
        <v>367</v>
      </c>
      <c r="W175" t="s">
        <v>461</v>
      </c>
      <c r="X175" t="s">
        <v>399</v>
      </c>
      <c r="Y175" t="s">
        <v>421</v>
      </c>
      <c r="Z175" t="s">
        <v>374</v>
      </c>
      <c r="AB175" s="73"/>
      <c r="AQ175" s="73"/>
      <c r="BG175" t="s">
        <v>371</v>
      </c>
      <c r="BH175" t="s">
        <v>371</v>
      </c>
      <c r="BI175" t="s">
        <v>371</v>
      </c>
      <c r="BJ175" t="s">
        <v>371</v>
      </c>
      <c r="BK175" t="s">
        <v>371</v>
      </c>
      <c r="BL175" t="s">
        <v>371</v>
      </c>
      <c r="BM175" t="s">
        <v>371</v>
      </c>
      <c r="BN175" t="s">
        <v>371</v>
      </c>
      <c r="BO175" t="s">
        <v>371</v>
      </c>
      <c r="BQ175" t="s">
        <v>375</v>
      </c>
      <c r="BR175" s="73"/>
      <c r="CX175" s="73"/>
      <c r="EQ175" s="73"/>
      <c r="FT175">
        <v>0</v>
      </c>
      <c r="FZ175" t="s">
        <v>371</v>
      </c>
      <c r="GA175" t="s">
        <v>371</v>
      </c>
      <c r="GB175" t="s">
        <v>371</v>
      </c>
      <c r="GC175" t="s">
        <v>371</v>
      </c>
      <c r="GD175" t="s">
        <v>371</v>
      </c>
      <c r="GF175" t="s">
        <v>371</v>
      </c>
      <c r="GG175" t="s">
        <v>371</v>
      </c>
      <c r="GH175" t="s">
        <v>371</v>
      </c>
      <c r="GI175" t="s">
        <v>371</v>
      </c>
      <c r="GJ175" t="s">
        <v>371</v>
      </c>
      <c r="GK175" t="s">
        <v>371</v>
      </c>
      <c r="GN175" t="s">
        <v>371</v>
      </c>
      <c r="GO175" t="s">
        <v>371</v>
      </c>
      <c r="GP175" t="s">
        <v>371</v>
      </c>
      <c r="GQ175" t="s">
        <v>371</v>
      </c>
      <c r="GR175" t="s">
        <v>371</v>
      </c>
      <c r="GS175" t="s">
        <v>371</v>
      </c>
      <c r="GT175" t="s">
        <v>371</v>
      </c>
      <c r="GU175" t="s">
        <v>371</v>
      </c>
      <c r="GV175" t="s">
        <v>371</v>
      </c>
      <c r="GW175" t="s">
        <v>371</v>
      </c>
      <c r="GX175" t="s">
        <v>371</v>
      </c>
      <c r="HA175" t="s">
        <v>375</v>
      </c>
    </row>
    <row r="176" spans="1:209" ht="14.25" customHeight="1" x14ac:dyDescent="0.25">
      <c r="A176" t="s">
        <v>505</v>
      </c>
      <c r="B176" t="s">
        <v>376</v>
      </c>
      <c r="C176">
        <v>1</v>
      </c>
      <c r="D176" t="s">
        <v>366</v>
      </c>
      <c r="E176" s="73"/>
      <c r="AA176" t="s">
        <v>377</v>
      </c>
      <c r="AB176" s="73">
        <v>46192</v>
      </c>
      <c r="AC176" t="s">
        <v>434</v>
      </c>
      <c r="AF176" t="s">
        <v>379</v>
      </c>
      <c r="AI176" t="s">
        <v>380</v>
      </c>
      <c r="AJ176">
        <v>0</v>
      </c>
      <c r="AK176" t="s">
        <v>372</v>
      </c>
      <c r="AP176" t="s">
        <v>374</v>
      </c>
      <c r="AQ176" s="73"/>
      <c r="BR176" s="73"/>
      <c r="CX176" s="73"/>
      <c r="EQ176" s="73"/>
    </row>
    <row r="177" spans="1:209" ht="14.25" customHeight="1" x14ac:dyDescent="0.25">
      <c r="A177" t="s">
        <v>505</v>
      </c>
      <c r="B177" t="s">
        <v>381</v>
      </c>
      <c r="C177">
        <v>1</v>
      </c>
      <c r="D177" t="s">
        <v>366</v>
      </c>
      <c r="E177" s="73"/>
      <c r="AB177" s="73"/>
      <c r="AQ177" s="73">
        <v>46192</v>
      </c>
      <c r="AR177" t="s">
        <v>397</v>
      </c>
      <c r="AU177" t="s">
        <v>383</v>
      </c>
      <c r="AV177" t="s">
        <v>384</v>
      </c>
      <c r="AW177" t="s">
        <v>384</v>
      </c>
      <c r="AX177" t="s">
        <v>383</v>
      </c>
      <c r="AY177" t="s">
        <v>384</v>
      </c>
      <c r="AZ177" t="s">
        <v>383</v>
      </c>
      <c r="BA177" t="s">
        <v>367</v>
      </c>
      <c r="BB177" t="s">
        <v>367</v>
      </c>
      <c r="BC177">
        <v>3</v>
      </c>
      <c r="BD177" t="s">
        <v>374</v>
      </c>
      <c r="BR177" s="73"/>
      <c r="CX177" s="73"/>
      <c r="EQ177" s="73"/>
    </row>
    <row r="178" spans="1:209" ht="14.25" customHeight="1" x14ac:dyDescent="0.25">
      <c r="A178" t="s">
        <v>506</v>
      </c>
      <c r="D178" t="s">
        <v>366</v>
      </c>
      <c r="E178" s="73">
        <v>46192</v>
      </c>
      <c r="F178" t="s">
        <v>367</v>
      </c>
      <c r="H178" t="s">
        <v>368</v>
      </c>
      <c r="I178" t="s">
        <v>368</v>
      </c>
      <c r="J178">
        <v>1985</v>
      </c>
      <c r="K178" t="s">
        <v>369</v>
      </c>
      <c r="L178" t="s">
        <v>370</v>
      </c>
      <c r="M178" t="s">
        <v>371</v>
      </c>
      <c r="N178" t="s">
        <v>371</v>
      </c>
      <c r="O178" t="s">
        <v>371</v>
      </c>
      <c r="P178" t="s">
        <v>371</v>
      </c>
      <c r="Q178" t="s">
        <v>371</v>
      </c>
      <c r="R178" t="s">
        <v>372</v>
      </c>
      <c r="S178" t="s">
        <v>372</v>
      </c>
      <c r="T178" t="s">
        <v>367</v>
      </c>
      <c r="U178" t="s">
        <v>367</v>
      </c>
      <c r="W178" t="s">
        <v>372</v>
      </c>
      <c r="X178" t="s">
        <v>399</v>
      </c>
      <c r="Y178" t="s">
        <v>421</v>
      </c>
      <c r="Z178" t="s">
        <v>374</v>
      </c>
      <c r="AB178" s="73"/>
      <c r="AQ178" s="73"/>
      <c r="BG178" t="s">
        <v>371</v>
      </c>
      <c r="BH178" t="s">
        <v>371</v>
      </c>
      <c r="BI178" t="s">
        <v>371</v>
      </c>
      <c r="BJ178" t="s">
        <v>371</v>
      </c>
      <c r="BK178" t="s">
        <v>371</v>
      </c>
      <c r="BL178" t="s">
        <v>371</v>
      </c>
      <c r="BM178" t="s">
        <v>371</v>
      </c>
      <c r="BN178" t="s">
        <v>371</v>
      </c>
      <c r="BO178" t="s">
        <v>371</v>
      </c>
      <c r="BQ178" t="s">
        <v>375</v>
      </c>
      <c r="BR178" s="73"/>
      <c r="CX178" s="73"/>
      <c r="EQ178" s="73"/>
      <c r="FT178">
        <v>0</v>
      </c>
      <c r="FZ178" t="s">
        <v>371</v>
      </c>
      <c r="GA178" t="s">
        <v>371</v>
      </c>
      <c r="GB178" t="s">
        <v>371</v>
      </c>
      <c r="GC178" t="s">
        <v>371</v>
      </c>
      <c r="GD178" t="s">
        <v>371</v>
      </c>
      <c r="GF178" t="s">
        <v>371</v>
      </c>
      <c r="GG178" t="s">
        <v>371</v>
      </c>
      <c r="GH178" t="s">
        <v>371</v>
      </c>
      <c r="GI178" t="s">
        <v>371</v>
      </c>
      <c r="GJ178" t="s">
        <v>371</v>
      </c>
      <c r="GK178" t="s">
        <v>371</v>
      </c>
      <c r="GN178" t="s">
        <v>371</v>
      </c>
      <c r="GO178" t="s">
        <v>371</v>
      </c>
      <c r="GP178" t="s">
        <v>371</v>
      </c>
      <c r="GQ178" t="s">
        <v>371</v>
      </c>
      <c r="GR178" t="s">
        <v>371</v>
      </c>
      <c r="GS178" t="s">
        <v>371</v>
      </c>
      <c r="GT178" t="s">
        <v>371</v>
      </c>
      <c r="GU178" t="s">
        <v>371</v>
      </c>
      <c r="GV178" t="s">
        <v>371</v>
      </c>
      <c r="GW178" t="s">
        <v>371</v>
      </c>
      <c r="GX178" t="s">
        <v>371</v>
      </c>
      <c r="HA178" t="s">
        <v>375</v>
      </c>
    </row>
    <row r="179" spans="1:209" ht="14.25" customHeight="1" x14ac:dyDescent="0.25">
      <c r="A179" t="s">
        <v>506</v>
      </c>
      <c r="B179" t="s">
        <v>376</v>
      </c>
      <c r="C179">
        <v>1</v>
      </c>
      <c r="D179" t="s">
        <v>366</v>
      </c>
      <c r="E179" s="73"/>
      <c r="AA179" t="s">
        <v>377</v>
      </c>
      <c r="AB179" s="73">
        <v>46192</v>
      </c>
      <c r="AC179" t="s">
        <v>434</v>
      </c>
      <c r="AF179" t="s">
        <v>379</v>
      </c>
      <c r="AI179" t="s">
        <v>380</v>
      </c>
      <c r="AJ179">
        <v>0</v>
      </c>
      <c r="AK179" t="s">
        <v>372</v>
      </c>
      <c r="AP179" t="s">
        <v>374</v>
      </c>
      <c r="AQ179" s="73"/>
      <c r="BR179" s="73"/>
      <c r="CX179" s="73"/>
      <c r="EQ179" s="73"/>
    </row>
    <row r="180" spans="1:209" ht="14.25" customHeight="1" x14ac:dyDescent="0.25">
      <c r="A180" t="s">
        <v>506</v>
      </c>
      <c r="B180" t="s">
        <v>381</v>
      </c>
      <c r="C180">
        <v>1</v>
      </c>
      <c r="D180" t="s">
        <v>366</v>
      </c>
      <c r="E180" s="73"/>
      <c r="AB180" s="73"/>
      <c r="AQ180" s="73">
        <v>46192</v>
      </c>
      <c r="AR180" t="s">
        <v>397</v>
      </c>
      <c r="AU180" t="s">
        <v>383</v>
      </c>
      <c r="AV180" t="s">
        <v>384</v>
      </c>
      <c r="AW180" t="s">
        <v>384</v>
      </c>
      <c r="AX180" t="s">
        <v>385</v>
      </c>
      <c r="AY180" t="s">
        <v>383</v>
      </c>
      <c r="AZ180" t="s">
        <v>384</v>
      </c>
      <c r="BA180" t="s">
        <v>367</v>
      </c>
      <c r="BB180" t="s">
        <v>372</v>
      </c>
      <c r="BC180">
        <v>6</v>
      </c>
      <c r="BD180" t="s">
        <v>374</v>
      </c>
      <c r="BR180" s="73"/>
      <c r="CX180" s="73"/>
      <c r="EQ180" s="73"/>
    </row>
    <row r="181" spans="1:209" ht="14.25" customHeight="1" x14ac:dyDescent="0.25">
      <c r="A181" t="s">
        <v>507</v>
      </c>
      <c r="D181" t="s">
        <v>366</v>
      </c>
      <c r="E181" s="73">
        <v>46192</v>
      </c>
      <c r="F181" t="s">
        <v>367</v>
      </c>
      <c r="H181" t="s">
        <v>403</v>
      </c>
      <c r="I181" t="s">
        <v>403</v>
      </c>
      <c r="J181">
        <v>1966</v>
      </c>
      <c r="K181" t="s">
        <v>369</v>
      </c>
      <c r="L181" t="s">
        <v>370</v>
      </c>
      <c r="M181" t="s">
        <v>371</v>
      </c>
      <c r="N181" t="s">
        <v>371</v>
      </c>
      <c r="O181" t="s">
        <v>371</v>
      </c>
      <c r="P181" t="s">
        <v>371</v>
      </c>
      <c r="Q181" t="s">
        <v>371</v>
      </c>
      <c r="R181" t="s">
        <v>367</v>
      </c>
      <c r="S181" t="s">
        <v>372</v>
      </c>
      <c r="T181" t="s">
        <v>367</v>
      </c>
      <c r="U181" t="s">
        <v>372</v>
      </c>
      <c r="V181" t="s">
        <v>372</v>
      </c>
      <c r="W181" t="s">
        <v>367</v>
      </c>
      <c r="X181" t="s">
        <v>432</v>
      </c>
      <c r="Y181" t="s">
        <v>396</v>
      </c>
      <c r="Z181" t="s">
        <v>374</v>
      </c>
      <c r="AB181" s="73"/>
      <c r="AQ181" s="73"/>
      <c r="BG181" t="s">
        <v>371</v>
      </c>
      <c r="BH181" t="s">
        <v>371</v>
      </c>
      <c r="BI181" t="s">
        <v>371</v>
      </c>
      <c r="BJ181" t="s">
        <v>371</v>
      </c>
      <c r="BK181" t="s">
        <v>371</v>
      </c>
      <c r="BL181" t="s">
        <v>371</v>
      </c>
      <c r="BM181" t="s">
        <v>371</v>
      </c>
      <c r="BN181" t="s">
        <v>371</v>
      </c>
      <c r="BO181" t="s">
        <v>371</v>
      </c>
      <c r="BQ181" t="s">
        <v>375</v>
      </c>
      <c r="BR181" s="73"/>
      <c r="CX181" s="73"/>
      <c r="EQ181" s="73"/>
      <c r="FT181">
        <v>0</v>
      </c>
      <c r="FZ181" t="s">
        <v>371</v>
      </c>
      <c r="GA181" t="s">
        <v>371</v>
      </c>
      <c r="GB181" t="s">
        <v>371</v>
      </c>
      <c r="GC181" t="s">
        <v>371</v>
      </c>
      <c r="GD181" t="s">
        <v>371</v>
      </c>
      <c r="GF181" t="s">
        <v>371</v>
      </c>
      <c r="GG181" t="s">
        <v>371</v>
      </c>
      <c r="GH181" t="s">
        <v>371</v>
      </c>
      <c r="GI181" t="s">
        <v>371</v>
      </c>
      <c r="GJ181" t="s">
        <v>371</v>
      </c>
      <c r="GK181" t="s">
        <v>371</v>
      </c>
      <c r="GN181" t="s">
        <v>371</v>
      </c>
      <c r="GO181" t="s">
        <v>371</v>
      </c>
      <c r="GP181" t="s">
        <v>371</v>
      </c>
      <c r="GQ181" t="s">
        <v>371</v>
      </c>
      <c r="GR181" t="s">
        <v>371</v>
      </c>
      <c r="GS181" t="s">
        <v>371</v>
      </c>
      <c r="GT181" t="s">
        <v>371</v>
      </c>
      <c r="GU181" t="s">
        <v>371</v>
      </c>
      <c r="GV181" t="s">
        <v>371</v>
      </c>
      <c r="GW181" t="s">
        <v>371</v>
      </c>
      <c r="GX181" t="s">
        <v>371</v>
      </c>
      <c r="HA181" t="s">
        <v>375</v>
      </c>
    </row>
    <row r="182" spans="1:209" ht="14.25" customHeight="1" x14ac:dyDescent="0.25">
      <c r="A182" t="s">
        <v>507</v>
      </c>
      <c r="B182" t="s">
        <v>376</v>
      </c>
      <c r="C182">
        <v>1</v>
      </c>
      <c r="D182" t="s">
        <v>366</v>
      </c>
      <c r="E182" s="73"/>
      <c r="AA182" t="s">
        <v>377</v>
      </c>
      <c r="AB182" s="73">
        <v>46192</v>
      </c>
      <c r="AC182" t="s">
        <v>434</v>
      </c>
      <c r="AF182" t="s">
        <v>379</v>
      </c>
      <c r="AI182" t="s">
        <v>380</v>
      </c>
      <c r="AJ182">
        <v>0</v>
      </c>
      <c r="AK182" t="s">
        <v>372</v>
      </c>
      <c r="AP182" t="s">
        <v>374</v>
      </c>
      <c r="AQ182" s="73"/>
      <c r="BR182" s="73"/>
      <c r="CX182" s="73"/>
      <c r="EQ182" s="73"/>
    </row>
    <row r="183" spans="1:209" ht="14.25" customHeight="1" x14ac:dyDescent="0.25">
      <c r="A183" t="s">
        <v>507</v>
      </c>
      <c r="B183" t="s">
        <v>381</v>
      </c>
      <c r="C183">
        <v>1</v>
      </c>
      <c r="D183" t="s">
        <v>366</v>
      </c>
      <c r="E183" s="73"/>
      <c r="AB183" s="73"/>
      <c r="AQ183" s="73">
        <v>46192</v>
      </c>
      <c r="AR183" t="s">
        <v>378</v>
      </c>
      <c r="AU183" t="s">
        <v>383</v>
      </c>
      <c r="AV183" t="s">
        <v>384</v>
      </c>
      <c r="AW183" t="s">
        <v>384</v>
      </c>
      <c r="AX183" t="s">
        <v>383</v>
      </c>
      <c r="AY183" t="s">
        <v>384</v>
      </c>
      <c r="AZ183" t="s">
        <v>383</v>
      </c>
      <c r="BA183" t="s">
        <v>367</v>
      </c>
      <c r="BB183" t="s">
        <v>367</v>
      </c>
      <c r="BC183">
        <v>3</v>
      </c>
      <c r="BD183" t="s">
        <v>374</v>
      </c>
      <c r="BR183" s="73"/>
      <c r="CX183" s="73"/>
      <c r="EQ183" s="73"/>
    </row>
    <row r="184" spans="1:209" ht="14.25" customHeight="1" x14ac:dyDescent="0.25">
      <c r="A184" t="s">
        <v>508</v>
      </c>
      <c r="D184" t="s">
        <v>366</v>
      </c>
      <c r="E184" s="73">
        <v>46192</v>
      </c>
      <c r="F184" t="s">
        <v>367</v>
      </c>
      <c r="H184" t="s">
        <v>403</v>
      </c>
      <c r="I184" t="s">
        <v>403</v>
      </c>
      <c r="J184">
        <v>1969</v>
      </c>
      <c r="K184" t="s">
        <v>391</v>
      </c>
      <c r="L184" t="s">
        <v>371</v>
      </c>
      <c r="M184" t="s">
        <v>370</v>
      </c>
      <c r="N184" t="s">
        <v>371</v>
      </c>
      <c r="O184" t="s">
        <v>371</v>
      </c>
      <c r="P184" t="s">
        <v>371</v>
      </c>
      <c r="Q184" t="s">
        <v>371</v>
      </c>
      <c r="R184" t="s">
        <v>372</v>
      </c>
      <c r="S184" t="s">
        <v>372</v>
      </c>
      <c r="T184" t="s">
        <v>372</v>
      </c>
      <c r="U184" t="s">
        <v>367</v>
      </c>
      <c r="W184" t="s">
        <v>367</v>
      </c>
      <c r="X184" t="s">
        <v>432</v>
      </c>
      <c r="Y184" t="s">
        <v>421</v>
      </c>
      <c r="Z184" t="s">
        <v>374</v>
      </c>
      <c r="AB184" s="73"/>
      <c r="AQ184" s="73"/>
      <c r="BG184" t="s">
        <v>371</v>
      </c>
      <c r="BH184" t="s">
        <v>371</v>
      </c>
      <c r="BI184" t="s">
        <v>371</v>
      </c>
      <c r="BJ184" t="s">
        <v>371</v>
      </c>
      <c r="BK184" t="s">
        <v>371</v>
      </c>
      <c r="BL184" t="s">
        <v>371</v>
      </c>
      <c r="BM184" t="s">
        <v>371</v>
      </c>
      <c r="BN184" t="s">
        <v>371</v>
      </c>
      <c r="BO184" t="s">
        <v>371</v>
      </c>
      <c r="BQ184" t="s">
        <v>375</v>
      </c>
      <c r="BR184" s="73"/>
      <c r="CX184" s="73"/>
      <c r="EQ184" s="73"/>
      <c r="FT184">
        <v>0</v>
      </c>
      <c r="FZ184" t="s">
        <v>371</v>
      </c>
      <c r="GA184" t="s">
        <v>371</v>
      </c>
      <c r="GB184" t="s">
        <v>371</v>
      </c>
      <c r="GC184" t="s">
        <v>371</v>
      </c>
      <c r="GD184" t="s">
        <v>371</v>
      </c>
      <c r="GF184" t="s">
        <v>371</v>
      </c>
      <c r="GG184" t="s">
        <v>371</v>
      </c>
      <c r="GH184" t="s">
        <v>371</v>
      </c>
      <c r="GI184" t="s">
        <v>371</v>
      </c>
      <c r="GJ184" t="s">
        <v>371</v>
      </c>
      <c r="GK184" t="s">
        <v>371</v>
      </c>
      <c r="GN184" t="s">
        <v>371</v>
      </c>
      <c r="GO184" t="s">
        <v>371</v>
      </c>
      <c r="GP184" t="s">
        <v>371</v>
      </c>
      <c r="GQ184" t="s">
        <v>371</v>
      </c>
      <c r="GR184" t="s">
        <v>371</v>
      </c>
      <c r="GS184" t="s">
        <v>371</v>
      </c>
      <c r="GT184" t="s">
        <v>371</v>
      </c>
      <c r="GU184" t="s">
        <v>371</v>
      </c>
      <c r="GV184" t="s">
        <v>371</v>
      </c>
      <c r="GW184" t="s">
        <v>371</v>
      </c>
      <c r="GX184" t="s">
        <v>371</v>
      </c>
      <c r="HA184" t="s">
        <v>375</v>
      </c>
    </row>
    <row r="185" spans="1:209" ht="14.25" customHeight="1" x14ac:dyDescent="0.25">
      <c r="A185" t="s">
        <v>508</v>
      </c>
      <c r="B185" t="s">
        <v>376</v>
      </c>
      <c r="C185">
        <v>1</v>
      </c>
      <c r="D185" t="s">
        <v>366</v>
      </c>
      <c r="E185" s="73"/>
      <c r="AA185" t="s">
        <v>377</v>
      </c>
      <c r="AB185" s="73">
        <v>46192</v>
      </c>
      <c r="AC185" t="s">
        <v>434</v>
      </c>
      <c r="AF185" t="s">
        <v>379</v>
      </c>
      <c r="AI185" t="s">
        <v>380</v>
      </c>
      <c r="AJ185">
        <v>0</v>
      </c>
      <c r="AK185" t="s">
        <v>372</v>
      </c>
      <c r="AP185" t="s">
        <v>374</v>
      </c>
      <c r="AQ185" s="73"/>
      <c r="BR185" s="73"/>
      <c r="CX185" s="73"/>
      <c r="EQ185" s="73"/>
    </row>
    <row r="186" spans="1:209" ht="14.25" customHeight="1" x14ac:dyDescent="0.25">
      <c r="A186" t="s">
        <v>508</v>
      </c>
      <c r="B186" t="s">
        <v>381</v>
      </c>
      <c r="C186">
        <v>1</v>
      </c>
      <c r="D186" t="s">
        <v>366</v>
      </c>
      <c r="E186" s="73"/>
      <c r="AB186" s="73"/>
      <c r="AQ186" s="73">
        <v>46192</v>
      </c>
      <c r="AR186" t="s">
        <v>378</v>
      </c>
      <c r="AU186" t="s">
        <v>383</v>
      </c>
      <c r="AV186" t="s">
        <v>385</v>
      </c>
      <c r="AW186" t="s">
        <v>384</v>
      </c>
      <c r="AX186" t="s">
        <v>385</v>
      </c>
      <c r="AY186" t="s">
        <v>383</v>
      </c>
      <c r="AZ186" t="s">
        <v>383</v>
      </c>
      <c r="BA186" t="s">
        <v>367</v>
      </c>
      <c r="BB186" t="s">
        <v>372</v>
      </c>
      <c r="BC186">
        <v>9</v>
      </c>
      <c r="BD186" t="s">
        <v>374</v>
      </c>
      <c r="BR186" s="73"/>
      <c r="CX186" s="73"/>
      <c r="EQ186" s="73"/>
    </row>
    <row r="187" spans="1:209" ht="14.25" customHeight="1" x14ac:dyDescent="0.25">
      <c r="A187" t="s">
        <v>508</v>
      </c>
      <c r="B187" t="s">
        <v>410</v>
      </c>
      <c r="C187">
        <v>1</v>
      </c>
      <c r="D187" t="s">
        <v>366</v>
      </c>
      <c r="E187" s="73"/>
      <c r="AB187" s="73"/>
      <c r="AQ187" s="73"/>
      <c r="BR187" s="73"/>
      <c r="CX187" s="73">
        <v>46195</v>
      </c>
      <c r="CY187" t="s">
        <v>411</v>
      </c>
      <c r="CZ187" t="s">
        <v>412</v>
      </c>
      <c r="DA187" t="s">
        <v>413</v>
      </c>
      <c r="DC187" t="s">
        <v>414</v>
      </c>
      <c r="DE187" t="s">
        <v>441</v>
      </c>
      <c r="DF187" t="s">
        <v>509</v>
      </c>
      <c r="DG187" t="s">
        <v>367</v>
      </c>
      <c r="DH187" t="s">
        <v>367</v>
      </c>
      <c r="DI187" t="s">
        <v>367</v>
      </c>
      <c r="DK187" t="s">
        <v>370</v>
      </c>
      <c r="DL187" t="s">
        <v>371</v>
      </c>
      <c r="DM187" t="s">
        <v>370</v>
      </c>
      <c r="DN187" t="s">
        <v>371</v>
      </c>
      <c r="DO187" t="s">
        <v>372</v>
      </c>
      <c r="DP187" t="s">
        <v>510</v>
      </c>
      <c r="DQ187" t="s">
        <v>370</v>
      </c>
      <c r="DR187" t="s">
        <v>371</v>
      </c>
      <c r="DS187" t="s">
        <v>371</v>
      </c>
      <c r="DT187" t="s">
        <v>371</v>
      </c>
      <c r="DU187" t="s">
        <v>371</v>
      </c>
      <c r="DV187" t="s">
        <v>371</v>
      </c>
      <c r="DW187" t="s">
        <v>371</v>
      </c>
      <c r="DX187" t="s">
        <v>371</v>
      </c>
      <c r="DY187" t="s">
        <v>371</v>
      </c>
      <c r="DZ187" t="s">
        <v>370</v>
      </c>
      <c r="EA187" t="s">
        <v>371</v>
      </c>
      <c r="EB187" t="s">
        <v>371</v>
      </c>
      <c r="EC187" t="s">
        <v>371</v>
      </c>
      <c r="ED187" t="s">
        <v>371</v>
      </c>
      <c r="EE187" t="s">
        <v>371</v>
      </c>
      <c r="EF187" t="s">
        <v>371</v>
      </c>
      <c r="EG187" t="s">
        <v>371</v>
      </c>
      <c r="EH187" t="s">
        <v>371</v>
      </c>
      <c r="EI187" t="s">
        <v>511</v>
      </c>
      <c r="EJ187" t="s">
        <v>370</v>
      </c>
      <c r="EK187" t="s">
        <v>370</v>
      </c>
      <c r="EL187" t="s">
        <v>370</v>
      </c>
      <c r="EM187" t="s">
        <v>370</v>
      </c>
      <c r="EN187" t="s">
        <v>371</v>
      </c>
      <c r="EO187" t="s">
        <v>371</v>
      </c>
      <c r="EQ187" s="73">
        <v>46225</v>
      </c>
      <c r="ER187" t="s">
        <v>512</v>
      </c>
      <c r="ES187" t="s">
        <v>374</v>
      </c>
    </row>
    <row r="188" spans="1:209" ht="14.25" customHeight="1" x14ac:dyDescent="0.25">
      <c r="A188" t="s">
        <v>513</v>
      </c>
      <c r="D188" t="s">
        <v>366</v>
      </c>
      <c r="E188" s="73">
        <v>46192</v>
      </c>
      <c r="F188" t="s">
        <v>367</v>
      </c>
      <c r="H188" t="s">
        <v>403</v>
      </c>
      <c r="I188" t="s">
        <v>403</v>
      </c>
      <c r="J188">
        <v>1978</v>
      </c>
      <c r="K188" t="s">
        <v>369</v>
      </c>
      <c r="L188" t="s">
        <v>370</v>
      </c>
      <c r="M188" t="s">
        <v>371</v>
      </c>
      <c r="N188" t="s">
        <v>371</v>
      </c>
      <c r="O188" t="s">
        <v>371</v>
      </c>
      <c r="P188" t="s">
        <v>371</v>
      </c>
      <c r="Q188" t="s">
        <v>371</v>
      </c>
      <c r="R188" t="s">
        <v>489</v>
      </c>
      <c r="S188" t="s">
        <v>372</v>
      </c>
      <c r="T188" t="s">
        <v>367</v>
      </c>
      <c r="U188" t="s">
        <v>367</v>
      </c>
      <c r="W188" t="s">
        <v>372</v>
      </c>
      <c r="X188" t="s">
        <v>432</v>
      </c>
      <c r="Y188" t="s">
        <v>396</v>
      </c>
      <c r="Z188" t="s">
        <v>374</v>
      </c>
      <c r="AB188" s="73"/>
      <c r="AQ188" s="73"/>
      <c r="BG188" t="s">
        <v>371</v>
      </c>
      <c r="BH188" t="s">
        <v>371</v>
      </c>
      <c r="BI188" t="s">
        <v>371</v>
      </c>
      <c r="BJ188" t="s">
        <v>371</v>
      </c>
      <c r="BK188" t="s">
        <v>371</v>
      </c>
      <c r="BL188" t="s">
        <v>371</v>
      </c>
      <c r="BM188" t="s">
        <v>371</v>
      </c>
      <c r="BN188" t="s">
        <v>371</v>
      </c>
      <c r="BO188" t="s">
        <v>371</v>
      </c>
      <c r="BQ188" t="s">
        <v>375</v>
      </c>
      <c r="BR188" s="73"/>
      <c r="CX188" s="73"/>
      <c r="EQ188" s="73"/>
      <c r="FT188">
        <v>0</v>
      </c>
      <c r="FZ188" t="s">
        <v>371</v>
      </c>
      <c r="GA188" t="s">
        <v>371</v>
      </c>
      <c r="GB188" t="s">
        <v>371</v>
      </c>
      <c r="GC188" t="s">
        <v>371</v>
      </c>
      <c r="GD188" t="s">
        <v>371</v>
      </c>
      <c r="GF188" t="s">
        <v>371</v>
      </c>
      <c r="GG188" t="s">
        <v>371</v>
      </c>
      <c r="GH188" t="s">
        <v>371</v>
      </c>
      <c r="GI188" t="s">
        <v>371</v>
      </c>
      <c r="GJ188" t="s">
        <v>371</v>
      </c>
      <c r="GK188" t="s">
        <v>371</v>
      </c>
      <c r="GN188" t="s">
        <v>371</v>
      </c>
      <c r="GO188" t="s">
        <v>371</v>
      </c>
      <c r="GP188" t="s">
        <v>371</v>
      </c>
      <c r="GQ188" t="s">
        <v>371</v>
      </c>
      <c r="GR188" t="s">
        <v>371</v>
      </c>
      <c r="GS188" t="s">
        <v>371</v>
      </c>
      <c r="GT188" t="s">
        <v>371</v>
      </c>
      <c r="GU188" t="s">
        <v>371</v>
      </c>
      <c r="GV188" t="s">
        <v>371</v>
      </c>
      <c r="GW188" t="s">
        <v>371</v>
      </c>
      <c r="GX188" t="s">
        <v>371</v>
      </c>
      <c r="HA188" t="s">
        <v>375</v>
      </c>
    </row>
    <row r="189" spans="1:209" ht="14.25" customHeight="1" x14ac:dyDescent="0.25">
      <c r="A189" t="s">
        <v>513</v>
      </c>
      <c r="B189" t="s">
        <v>376</v>
      </c>
      <c r="C189">
        <v>1</v>
      </c>
      <c r="D189" t="s">
        <v>366</v>
      </c>
      <c r="E189" s="73"/>
      <c r="AA189" t="s">
        <v>377</v>
      </c>
      <c r="AB189" s="73">
        <v>46192</v>
      </c>
      <c r="AC189" t="s">
        <v>434</v>
      </c>
      <c r="AF189" t="s">
        <v>379</v>
      </c>
      <c r="AI189" t="s">
        <v>514</v>
      </c>
      <c r="AJ189">
        <v>0</v>
      </c>
      <c r="AK189" t="s">
        <v>372</v>
      </c>
      <c r="AP189" t="s">
        <v>374</v>
      </c>
      <c r="AQ189" s="73"/>
      <c r="BR189" s="73"/>
      <c r="CX189" s="73"/>
      <c r="EQ189" s="73"/>
    </row>
    <row r="190" spans="1:209" ht="14.25" customHeight="1" x14ac:dyDescent="0.25">
      <c r="A190" t="s">
        <v>513</v>
      </c>
      <c r="B190" t="s">
        <v>381</v>
      </c>
      <c r="C190">
        <v>1</v>
      </c>
      <c r="D190" t="s">
        <v>366</v>
      </c>
      <c r="E190" s="73"/>
      <c r="AB190" s="73"/>
      <c r="AQ190" s="73">
        <v>46192</v>
      </c>
      <c r="AR190" t="s">
        <v>378</v>
      </c>
      <c r="AU190" t="s">
        <v>383</v>
      </c>
      <c r="AV190" t="s">
        <v>383</v>
      </c>
      <c r="AW190" t="s">
        <v>384</v>
      </c>
      <c r="AX190" t="s">
        <v>404</v>
      </c>
      <c r="AY190" t="s">
        <v>383</v>
      </c>
      <c r="AZ190" t="s">
        <v>383</v>
      </c>
      <c r="BA190" t="s">
        <v>367</v>
      </c>
      <c r="BB190" t="s">
        <v>372</v>
      </c>
      <c r="BC190">
        <v>9</v>
      </c>
      <c r="BD190" t="s">
        <v>374</v>
      </c>
      <c r="BR190" s="73"/>
      <c r="CX190" s="73"/>
      <c r="EQ190" s="73"/>
    </row>
    <row r="191" spans="1:209" ht="14.25" customHeight="1" x14ac:dyDescent="0.25">
      <c r="A191" t="s">
        <v>513</v>
      </c>
      <c r="B191" t="s">
        <v>410</v>
      </c>
      <c r="C191">
        <v>1</v>
      </c>
      <c r="D191" t="s">
        <v>366</v>
      </c>
      <c r="E191" s="73"/>
      <c r="AB191" s="73"/>
      <c r="AQ191" s="73"/>
      <c r="BR191" s="73"/>
      <c r="CX191" s="73">
        <v>46195</v>
      </c>
      <c r="CY191" t="s">
        <v>411</v>
      </c>
      <c r="CZ191" t="s">
        <v>412</v>
      </c>
      <c r="DA191" t="s">
        <v>413</v>
      </c>
      <c r="DC191" t="s">
        <v>440</v>
      </c>
      <c r="DE191" t="s">
        <v>515</v>
      </c>
      <c r="DG191" t="s">
        <v>367</v>
      </c>
      <c r="DH191" t="s">
        <v>367</v>
      </c>
      <c r="DI191" t="s">
        <v>367</v>
      </c>
      <c r="DK191" t="s">
        <v>370</v>
      </c>
      <c r="DL191" t="s">
        <v>371</v>
      </c>
      <c r="DM191" t="s">
        <v>370</v>
      </c>
      <c r="DN191" t="s">
        <v>371</v>
      </c>
      <c r="DO191" t="s">
        <v>372</v>
      </c>
      <c r="DP191" t="s">
        <v>510</v>
      </c>
      <c r="DQ191" t="s">
        <v>370</v>
      </c>
      <c r="DR191" t="s">
        <v>371</v>
      </c>
      <c r="DS191" t="s">
        <v>371</v>
      </c>
      <c r="DT191" t="s">
        <v>371</v>
      </c>
      <c r="DU191" t="s">
        <v>371</v>
      </c>
      <c r="DV191" t="s">
        <v>371</v>
      </c>
      <c r="DW191" t="s">
        <v>371</v>
      </c>
      <c r="DX191" t="s">
        <v>371</v>
      </c>
      <c r="DY191" t="s">
        <v>371</v>
      </c>
      <c r="DZ191" t="s">
        <v>370</v>
      </c>
      <c r="EA191" t="s">
        <v>371</v>
      </c>
      <c r="EB191" t="s">
        <v>371</v>
      </c>
      <c r="EC191" t="s">
        <v>371</v>
      </c>
      <c r="ED191" t="s">
        <v>371</v>
      </c>
      <c r="EE191" t="s">
        <v>371</v>
      </c>
      <c r="EF191" t="s">
        <v>371</v>
      </c>
      <c r="EG191" t="s">
        <v>371</v>
      </c>
      <c r="EH191" t="s">
        <v>371</v>
      </c>
      <c r="EI191" t="s">
        <v>516</v>
      </c>
      <c r="EJ191" t="s">
        <v>370</v>
      </c>
      <c r="EK191" t="s">
        <v>370</v>
      </c>
      <c r="EL191" t="s">
        <v>370</v>
      </c>
      <c r="EM191" t="s">
        <v>370</v>
      </c>
      <c r="EN191" t="s">
        <v>370</v>
      </c>
      <c r="EO191" t="s">
        <v>371</v>
      </c>
      <c r="EQ191" s="73">
        <v>46225</v>
      </c>
      <c r="ER191" t="s">
        <v>517</v>
      </c>
      <c r="ES191" t="s">
        <v>374</v>
      </c>
    </row>
    <row r="192" spans="1:209" ht="14.25" customHeight="1" x14ac:dyDescent="0.25">
      <c r="A192" t="s">
        <v>518</v>
      </c>
      <c r="D192" t="s">
        <v>366</v>
      </c>
      <c r="E192" s="73">
        <v>46192</v>
      </c>
      <c r="F192" t="s">
        <v>367</v>
      </c>
      <c r="H192" t="s">
        <v>368</v>
      </c>
      <c r="I192" t="s">
        <v>368</v>
      </c>
      <c r="J192">
        <v>1988</v>
      </c>
      <c r="K192" t="s">
        <v>369</v>
      </c>
      <c r="L192" t="s">
        <v>370</v>
      </c>
      <c r="M192" t="s">
        <v>371</v>
      </c>
      <c r="N192" t="s">
        <v>371</v>
      </c>
      <c r="O192" t="s">
        <v>371</v>
      </c>
      <c r="P192" t="s">
        <v>371</v>
      </c>
      <c r="Q192" t="s">
        <v>371</v>
      </c>
      <c r="R192" t="s">
        <v>372</v>
      </c>
      <c r="S192" t="s">
        <v>372</v>
      </c>
      <c r="T192" t="s">
        <v>372</v>
      </c>
      <c r="U192" t="s">
        <v>367</v>
      </c>
      <c r="W192" t="s">
        <v>367</v>
      </c>
      <c r="X192" t="s">
        <v>399</v>
      </c>
      <c r="Y192" t="s">
        <v>396</v>
      </c>
      <c r="Z192" t="s">
        <v>374</v>
      </c>
      <c r="AB192" s="73"/>
      <c r="AQ192" s="73"/>
      <c r="BG192" t="s">
        <v>371</v>
      </c>
      <c r="BH192" t="s">
        <v>371</v>
      </c>
      <c r="BI192" t="s">
        <v>371</v>
      </c>
      <c r="BJ192" t="s">
        <v>371</v>
      </c>
      <c r="BK192" t="s">
        <v>371</v>
      </c>
      <c r="BL192" t="s">
        <v>371</v>
      </c>
      <c r="BM192" t="s">
        <v>371</v>
      </c>
      <c r="BN192" t="s">
        <v>371</v>
      </c>
      <c r="BO192" t="s">
        <v>371</v>
      </c>
      <c r="BQ192" t="s">
        <v>375</v>
      </c>
      <c r="BR192" s="73"/>
      <c r="CX192" s="73"/>
      <c r="EQ192" s="73"/>
      <c r="FT192">
        <v>0</v>
      </c>
      <c r="FZ192" t="s">
        <v>371</v>
      </c>
      <c r="GA192" t="s">
        <v>371</v>
      </c>
      <c r="GB192" t="s">
        <v>371</v>
      </c>
      <c r="GC192" t="s">
        <v>371</v>
      </c>
      <c r="GD192" t="s">
        <v>371</v>
      </c>
      <c r="GF192" t="s">
        <v>371</v>
      </c>
      <c r="GG192" t="s">
        <v>371</v>
      </c>
      <c r="GH192" t="s">
        <v>371</v>
      </c>
      <c r="GI192" t="s">
        <v>371</v>
      </c>
      <c r="GJ192" t="s">
        <v>371</v>
      </c>
      <c r="GK192" t="s">
        <v>371</v>
      </c>
      <c r="GN192" t="s">
        <v>371</v>
      </c>
      <c r="GO192" t="s">
        <v>371</v>
      </c>
      <c r="GP192" t="s">
        <v>371</v>
      </c>
      <c r="GQ192" t="s">
        <v>371</v>
      </c>
      <c r="GR192" t="s">
        <v>371</v>
      </c>
      <c r="GS192" t="s">
        <v>371</v>
      </c>
      <c r="GT192" t="s">
        <v>371</v>
      </c>
      <c r="GU192" t="s">
        <v>371</v>
      </c>
      <c r="GV192" t="s">
        <v>371</v>
      </c>
      <c r="GW192" t="s">
        <v>371</v>
      </c>
      <c r="GX192" t="s">
        <v>371</v>
      </c>
      <c r="HA192" t="s">
        <v>375</v>
      </c>
    </row>
    <row r="193" spans="1:209" ht="14.25" customHeight="1" x14ac:dyDescent="0.25">
      <c r="A193" t="s">
        <v>518</v>
      </c>
      <c r="B193" t="s">
        <v>376</v>
      </c>
      <c r="C193">
        <v>1</v>
      </c>
      <c r="D193" t="s">
        <v>366</v>
      </c>
      <c r="E193" s="73"/>
      <c r="AA193" t="s">
        <v>377</v>
      </c>
      <c r="AB193" s="73">
        <v>46192</v>
      </c>
      <c r="AC193" t="s">
        <v>434</v>
      </c>
      <c r="AF193" t="s">
        <v>379</v>
      </c>
      <c r="AI193" t="s">
        <v>514</v>
      </c>
      <c r="AJ193">
        <v>0</v>
      </c>
      <c r="AK193" t="s">
        <v>372</v>
      </c>
      <c r="AP193" t="s">
        <v>374</v>
      </c>
      <c r="AQ193" s="73"/>
      <c r="BR193" s="73"/>
      <c r="CX193" s="73"/>
      <c r="EQ193" s="73"/>
    </row>
    <row r="194" spans="1:209" ht="14.25" customHeight="1" x14ac:dyDescent="0.25">
      <c r="A194" t="s">
        <v>518</v>
      </c>
      <c r="B194" t="s">
        <v>381</v>
      </c>
      <c r="C194">
        <v>1</v>
      </c>
      <c r="D194" t="s">
        <v>366</v>
      </c>
      <c r="E194" s="73"/>
      <c r="AB194" s="73"/>
      <c r="AQ194" s="73">
        <v>46192</v>
      </c>
      <c r="AR194" t="s">
        <v>378</v>
      </c>
      <c r="AU194" t="s">
        <v>383</v>
      </c>
      <c r="AV194" t="s">
        <v>384</v>
      </c>
      <c r="AW194" t="s">
        <v>384</v>
      </c>
      <c r="AX194" t="s">
        <v>383</v>
      </c>
      <c r="AY194" t="s">
        <v>384</v>
      </c>
      <c r="AZ194" t="s">
        <v>383</v>
      </c>
      <c r="BA194" t="s">
        <v>367</v>
      </c>
      <c r="BB194" t="s">
        <v>367</v>
      </c>
      <c r="BC194">
        <v>3</v>
      </c>
      <c r="BD194" t="s">
        <v>374</v>
      </c>
      <c r="BR194" s="73"/>
      <c r="CX194" s="73"/>
      <c r="EQ194" s="73"/>
    </row>
    <row r="195" spans="1:209" ht="14.25" customHeight="1" x14ac:dyDescent="0.25">
      <c r="A195" t="s">
        <v>519</v>
      </c>
      <c r="D195" t="s">
        <v>366</v>
      </c>
      <c r="E195" s="73">
        <v>46192</v>
      </c>
      <c r="F195" t="s">
        <v>367</v>
      </c>
      <c r="H195" t="s">
        <v>368</v>
      </c>
      <c r="I195" t="s">
        <v>368</v>
      </c>
      <c r="J195">
        <v>1977</v>
      </c>
      <c r="K195" t="s">
        <v>369</v>
      </c>
      <c r="L195" t="s">
        <v>370</v>
      </c>
      <c r="M195" t="s">
        <v>371</v>
      </c>
      <c r="N195" t="s">
        <v>371</v>
      </c>
      <c r="O195" t="s">
        <v>371</v>
      </c>
      <c r="P195" t="s">
        <v>371</v>
      </c>
      <c r="Q195" t="s">
        <v>371</v>
      </c>
      <c r="R195" t="s">
        <v>372</v>
      </c>
      <c r="S195" t="s">
        <v>372</v>
      </c>
      <c r="T195" t="s">
        <v>372</v>
      </c>
      <c r="U195" t="s">
        <v>367</v>
      </c>
      <c r="W195" t="s">
        <v>367</v>
      </c>
      <c r="X195" t="s">
        <v>399</v>
      </c>
      <c r="Y195" t="s">
        <v>421</v>
      </c>
      <c r="Z195" t="s">
        <v>374</v>
      </c>
      <c r="AB195" s="73"/>
      <c r="AQ195" s="73"/>
      <c r="BG195" t="s">
        <v>371</v>
      </c>
      <c r="BH195" t="s">
        <v>371</v>
      </c>
      <c r="BI195" t="s">
        <v>371</v>
      </c>
      <c r="BJ195" t="s">
        <v>371</v>
      </c>
      <c r="BK195" t="s">
        <v>371</v>
      </c>
      <c r="BL195" t="s">
        <v>371</v>
      </c>
      <c r="BM195" t="s">
        <v>371</v>
      </c>
      <c r="BN195" t="s">
        <v>371</v>
      </c>
      <c r="BO195" t="s">
        <v>371</v>
      </c>
      <c r="BQ195" t="s">
        <v>375</v>
      </c>
      <c r="BR195" s="73"/>
      <c r="CX195" s="73"/>
      <c r="EQ195" s="73"/>
      <c r="FT195">
        <v>0</v>
      </c>
      <c r="FZ195" t="s">
        <v>371</v>
      </c>
      <c r="GA195" t="s">
        <v>371</v>
      </c>
      <c r="GB195" t="s">
        <v>371</v>
      </c>
      <c r="GC195" t="s">
        <v>371</v>
      </c>
      <c r="GD195" t="s">
        <v>371</v>
      </c>
      <c r="GF195" t="s">
        <v>371</v>
      </c>
      <c r="GG195" t="s">
        <v>371</v>
      </c>
      <c r="GH195" t="s">
        <v>371</v>
      </c>
      <c r="GI195" t="s">
        <v>371</v>
      </c>
      <c r="GJ195" t="s">
        <v>371</v>
      </c>
      <c r="GK195" t="s">
        <v>371</v>
      </c>
      <c r="GN195" t="s">
        <v>371</v>
      </c>
      <c r="GO195" t="s">
        <v>371</v>
      </c>
      <c r="GP195" t="s">
        <v>371</v>
      </c>
      <c r="GQ195" t="s">
        <v>371</v>
      </c>
      <c r="GR195" t="s">
        <v>371</v>
      </c>
      <c r="GS195" t="s">
        <v>371</v>
      </c>
      <c r="GT195" t="s">
        <v>371</v>
      </c>
      <c r="GU195" t="s">
        <v>371</v>
      </c>
      <c r="GV195" t="s">
        <v>371</v>
      </c>
      <c r="GW195" t="s">
        <v>371</v>
      </c>
      <c r="GX195" t="s">
        <v>371</v>
      </c>
      <c r="HA195" t="s">
        <v>375</v>
      </c>
    </row>
    <row r="196" spans="1:209" ht="14.25" customHeight="1" x14ac:dyDescent="0.25">
      <c r="A196" t="s">
        <v>519</v>
      </c>
      <c r="B196" t="s">
        <v>376</v>
      </c>
      <c r="C196">
        <v>1</v>
      </c>
      <c r="D196" t="s">
        <v>366</v>
      </c>
      <c r="E196" s="73"/>
      <c r="AA196" t="s">
        <v>377</v>
      </c>
      <c r="AB196" s="73">
        <v>46192</v>
      </c>
      <c r="AC196" t="s">
        <v>434</v>
      </c>
      <c r="AF196" t="s">
        <v>379</v>
      </c>
      <c r="AI196" t="s">
        <v>514</v>
      </c>
      <c r="AJ196">
        <v>0</v>
      </c>
      <c r="AK196" t="s">
        <v>372</v>
      </c>
      <c r="AP196" t="s">
        <v>374</v>
      </c>
      <c r="AQ196" s="73"/>
      <c r="BR196" s="73"/>
      <c r="CX196" s="73"/>
      <c r="EQ196" s="73"/>
    </row>
    <row r="197" spans="1:209" ht="14.25" customHeight="1" x14ac:dyDescent="0.25">
      <c r="A197" t="s">
        <v>519</v>
      </c>
      <c r="B197" t="s">
        <v>381</v>
      </c>
      <c r="C197">
        <v>1</v>
      </c>
      <c r="D197" t="s">
        <v>366</v>
      </c>
      <c r="E197" s="73"/>
      <c r="AB197" s="73"/>
      <c r="AQ197" s="73">
        <v>46192</v>
      </c>
      <c r="AR197" t="s">
        <v>378</v>
      </c>
      <c r="AU197" t="s">
        <v>383</v>
      </c>
      <c r="AV197" t="s">
        <v>384</v>
      </c>
      <c r="AW197" t="s">
        <v>383</v>
      </c>
      <c r="AX197" t="s">
        <v>404</v>
      </c>
      <c r="AY197" t="s">
        <v>384</v>
      </c>
      <c r="AZ197" t="s">
        <v>383</v>
      </c>
      <c r="BA197" t="s">
        <v>367</v>
      </c>
      <c r="BB197" t="s">
        <v>367</v>
      </c>
      <c r="BC197">
        <v>6</v>
      </c>
      <c r="BD197" t="s">
        <v>374</v>
      </c>
      <c r="BR197" s="73"/>
      <c r="CX197" s="73"/>
      <c r="EQ197" s="73"/>
    </row>
    <row r="198" spans="1:209" ht="14.25" customHeight="1" x14ac:dyDescent="0.25">
      <c r="A198" t="s">
        <v>520</v>
      </c>
      <c r="D198" t="s">
        <v>366</v>
      </c>
      <c r="E198" s="73">
        <v>46192</v>
      </c>
      <c r="F198" t="s">
        <v>367</v>
      </c>
      <c r="H198" t="s">
        <v>368</v>
      </c>
      <c r="I198" t="s">
        <v>368</v>
      </c>
      <c r="J198">
        <v>1977</v>
      </c>
      <c r="K198" t="s">
        <v>369</v>
      </c>
      <c r="L198" t="s">
        <v>370</v>
      </c>
      <c r="M198" t="s">
        <v>371</v>
      </c>
      <c r="N198" t="s">
        <v>371</v>
      </c>
      <c r="O198" t="s">
        <v>371</v>
      </c>
      <c r="P198" t="s">
        <v>371</v>
      </c>
      <c r="Q198" t="s">
        <v>371</v>
      </c>
      <c r="R198" t="s">
        <v>372</v>
      </c>
      <c r="S198" t="s">
        <v>372</v>
      </c>
      <c r="T198" t="s">
        <v>367</v>
      </c>
      <c r="U198" t="s">
        <v>367</v>
      </c>
      <c r="W198" t="s">
        <v>367</v>
      </c>
      <c r="X198" t="s">
        <v>373</v>
      </c>
      <c r="Y198" t="s">
        <v>367</v>
      </c>
      <c r="Z198" t="s">
        <v>374</v>
      </c>
      <c r="AB198" s="73"/>
      <c r="AQ198" s="73"/>
      <c r="BG198" t="s">
        <v>371</v>
      </c>
      <c r="BH198" t="s">
        <v>371</v>
      </c>
      <c r="BI198" t="s">
        <v>371</v>
      </c>
      <c r="BJ198" t="s">
        <v>371</v>
      </c>
      <c r="BK198" t="s">
        <v>371</v>
      </c>
      <c r="BL198" t="s">
        <v>371</v>
      </c>
      <c r="BM198" t="s">
        <v>371</v>
      </c>
      <c r="BN198" t="s">
        <v>371</v>
      </c>
      <c r="BO198" t="s">
        <v>371</v>
      </c>
      <c r="BQ198" t="s">
        <v>375</v>
      </c>
      <c r="BR198" s="73"/>
      <c r="CX198" s="73"/>
      <c r="EQ198" s="73"/>
      <c r="FT198">
        <v>0</v>
      </c>
      <c r="FZ198" t="s">
        <v>371</v>
      </c>
      <c r="GA198" t="s">
        <v>371</v>
      </c>
      <c r="GB198" t="s">
        <v>371</v>
      </c>
      <c r="GC198" t="s">
        <v>371</v>
      </c>
      <c r="GD198" t="s">
        <v>371</v>
      </c>
      <c r="GF198" t="s">
        <v>371</v>
      </c>
      <c r="GG198" t="s">
        <v>371</v>
      </c>
      <c r="GH198" t="s">
        <v>371</v>
      </c>
      <c r="GI198" t="s">
        <v>371</v>
      </c>
      <c r="GJ198" t="s">
        <v>371</v>
      </c>
      <c r="GK198" t="s">
        <v>371</v>
      </c>
      <c r="GN198" t="s">
        <v>371</v>
      </c>
      <c r="GO198" t="s">
        <v>371</v>
      </c>
      <c r="GP198" t="s">
        <v>371</v>
      </c>
      <c r="GQ198" t="s">
        <v>371</v>
      </c>
      <c r="GR198" t="s">
        <v>371</v>
      </c>
      <c r="GS198" t="s">
        <v>371</v>
      </c>
      <c r="GT198" t="s">
        <v>371</v>
      </c>
      <c r="GU198" t="s">
        <v>371</v>
      </c>
      <c r="GV198" t="s">
        <v>371</v>
      </c>
      <c r="GW198" t="s">
        <v>371</v>
      </c>
      <c r="GX198" t="s">
        <v>371</v>
      </c>
      <c r="HA198" t="s">
        <v>375</v>
      </c>
    </row>
    <row r="199" spans="1:209" ht="14.25" customHeight="1" x14ac:dyDescent="0.25">
      <c r="A199" t="s">
        <v>520</v>
      </c>
      <c r="B199" t="s">
        <v>376</v>
      </c>
      <c r="C199">
        <v>1</v>
      </c>
      <c r="D199" t="s">
        <v>366</v>
      </c>
      <c r="E199" s="73"/>
      <c r="AA199" t="s">
        <v>377</v>
      </c>
      <c r="AB199" s="73">
        <v>46192</v>
      </c>
      <c r="AC199" t="s">
        <v>434</v>
      </c>
      <c r="AF199" t="s">
        <v>379</v>
      </c>
      <c r="AI199" t="s">
        <v>380</v>
      </c>
      <c r="AJ199">
        <v>0</v>
      </c>
      <c r="AK199" t="s">
        <v>372</v>
      </c>
      <c r="AP199" t="s">
        <v>374</v>
      </c>
      <c r="AQ199" s="73"/>
      <c r="BR199" s="73"/>
      <c r="CX199" s="73"/>
      <c r="EQ199" s="73"/>
    </row>
    <row r="200" spans="1:209" ht="14.25" customHeight="1" x14ac:dyDescent="0.25">
      <c r="A200" t="s">
        <v>520</v>
      </c>
      <c r="B200" t="s">
        <v>381</v>
      </c>
      <c r="C200">
        <v>1</v>
      </c>
      <c r="D200" t="s">
        <v>366</v>
      </c>
      <c r="E200" s="73"/>
      <c r="AB200" s="73"/>
      <c r="AQ200" s="73">
        <v>46192</v>
      </c>
      <c r="AR200" t="s">
        <v>378</v>
      </c>
      <c r="AU200" t="s">
        <v>385</v>
      </c>
      <c r="AV200" t="s">
        <v>385</v>
      </c>
      <c r="AW200" t="s">
        <v>383</v>
      </c>
      <c r="AX200" t="s">
        <v>385</v>
      </c>
      <c r="AY200" t="s">
        <v>383</v>
      </c>
      <c r="AZ200" t="s">
        <v>383</v>
      </c>
      <c r="BA200" t="s">
        <v>367</v>
      </c>
      <c r="BB200" t="s">
        <v>367</v>
      </c>
      <c r="BC200">
        <v>9</v>
      </c>
      <c r="BD200" t="s">
        <v>374</v>
      </c>
      <c r="BR200" s="73"/>
      <c r="CX200" s="73"/>
      <c r="EQ200" s="73"/>
    </row>
    <row r="201" spans="1:209" ht="14.25" customHeight="1" x14ac:dyDescent="0.25">
      <c r="A201" t="s">
        <v>520</v>
      </c>
      <c r="B201" t="s">
        <v>410</v>
      </c>
      <c r="C201">
        <v>1</v>
      </c>
      <c r="D201" t="s">
        <v>366</v>
      </c>
      <c r="E201" s="73"/>
      <c r="AB201" s="73"/>
      <c r="AQ201" s="73"/>
      <c r="BR201" s="73"/>
      <c r="CX201" s="73">
        <v>46196</v>
      </c>
      <c r="CY201" t="s">
        <v>411</v>
      </c>
      <c r="CZ201" t="s">
        <v>412</v>
      </c>
      <c r="DA201" t="s">
        <v>413</v>
      </c>
      <c r="DC201" t="s">
        <v>414</v>
      </c>
      <c r="DE201" t="s">
        <v>521</v>
      </c>
      <c r="DF201" t="s">
        <v>522</v>
      </c>
      <c r="DG201" t="s">
        <v>367</v>
      </c>
      <c r="DH201" t="s">
        <v>372</v>
      </c>
      <c r="DI201" t="s">
        <v>372</v>
      </c>
      <c r="DJ201" t="s">
        <v>523</v>
      </c>
      <c r="DK201" t="s">
        <v>370</v>
      </c>
      <c r="DL201" t="s">
        <v>371</v>
      </c>
      <c r="DM201" t="s">
        <v>371</v>
      </c>
      <c r="DN201" t="s">
        <v>371</v>
      </c>
      <c r="DO201" t="s">
        <v>372</v>
      </c>
      <c r="DQ201" t="s">
        <v>370</v>
      </c>
      <c r="DR201" t="s">
        <v>371</v>
      </c>
      <c r="DS201" t="s">
        <v>371</v>
      </c>
      <c r="DT201" t="s">
        <v>371</v>
      </c>
      <c r="DU201" t="s">
        <v>371</v>
      </c>
      <c r="DV201" t="s">
        <v>371</v>
      </c>
      <c r="DW201" t="s">
        <v>371</v>
      </c>
      <c r="DX201" t="s">
        <v>370</v>
      </c>
      <c r="DY201" t="s">
        <v>371</v>
      </c>
      <c r="DZ201" t="s">
        <v>371</v>
      </c>
      <c r="EA201" t="s">
        <v>371</v>
      </c>
      <c r="EB201" t="s">
        <v>371</v>
      </c>
      <c r="EC201" t="s">
        <v>371</v>
      </c>
      <c r="ED201" t="s">
        <v>371</v>
      </c>
      <c r="EE201" t="s">
        <v>371</v>
      </c>
      <c r="EF201" t="s">
        <v>371</v>
      </c>
      <c r="EG201" t="s">
        <v>371</v>
      </c>
      <c r="EH201" t="s">
        <v>371</v>
      </c>
      <c r="EI201" t="s">
        <v>524</v>
      </c>
      <c r="EJ201" t="s">
        <v>370</v>
      </c>
      <c r="EK201" t="s">
        <v>370</v>
      </c>
      <c r="EL201" t="s">
        <v>370</v>
      </c>
      <c r="EM201" t="s">
        <v>370</v>
      </c>
      <c r="EN201" t="s">
        <v>370</v>
      </c>
      <c r="EO201" t="s">
        <v>371</v>
      </c>
      <c r="EQ201" s="73">
        <v>46226</v>
      </c>
      <c r="ER201" t="s">
        <v>525</v>
      </c>
      <c r="ES201" t="s">
        <v>374</v>
      </c>
    </row>
    <row r="202" spans="1:209" ht="14.25" customHeight="1" x14ac:dyDescent="0.25">
      <c r="A202" t="s">
        <v>526</v>
      </c>
      <c r="D202" t="s">
        <v>366</v>
      </c>
      <c r="E202" s="73">
        <v>46192</v>
      </c>
      <c r="F202" t="s">
        <v>372</v>
      </c>
      <c r="G202" t="s">
        <v>527</v>
      </c>
      <c r="H202" t="s">
        <v>403</v>
      </c>
      <c r="I202" t="s">
        <v>403</v>
      </c>
      <c r="J202">
        <v>1971</v>
      </c>
      <c r="K202" t="s">
        <v>391</v>
      </c>
      <c r="L202" t="s">
        <v>370</v>
      </c>
      <c r="M202" t="s">
        <v>371</v>
      </c>
      <c r="N202" t="s">
        <v>371</v>
      </c>
      <c r="O202" t="s">
        <v>371</v>
      </c>
      <c r="P202" t="s">
        <v>371</v>
      </c>
      <c r="Q202" t="s">
        <v>371</v>
      </c>
      <c r="R202" t="s">
        <v>372</v>
      </c>
      <c r="S202" t="s">
        <v>372</v>
      </c>
      <c r="T202" t="s">
        <v>372</v>
      </c>
      <c r="U202" t="s">
        <v>367</v>
      </c>
      <c r="W202" t="s">
        <v>367</v>
      </c>
      <c r="X202" t="s">
        <v>432</v>
      </c>
      <c r="Y202" t="s">
        <v>421</v>
      </c>
      <c r="Z202" t="s">
        <v>374</v>
      </c>
      <c r="AB202" s="73"/>
      <c r="AQ202" s="73"/>
      <c r="BG202" t="s">
        <v>371</v>
      </c>
      <c r="BH202" t="s">
        <v>371</v>
      </c>
      <c r="BI202" t="s">
        <v>371</v>
      </c>
      <c r="BJ202" t="s">
        <v>371</v>
      </c>
      <c r="BK202" t="s">
        <v>371</v>
      </c>
      <c r="BL202" t="s">
        <v>371</v>
      </c>
      <c r="BM202" t="s">
        <v>371</v>
      </c>
      <c r="BN202" t="s">
        <v>371</v>
      </c>
      <c r="BO202" t="s">
        <v>371</v>
      </c>
      <c r="BQ202" t="s">
        <v>375</v>
      </c>
      <c r="BR202" s="73"/>
      <c r="CX202" s="73"/>
      <c r="EQ202" s="73"/>
      <c r="FT202">
        <v>0</v>
      </c>
      <c r="FZ202" t="s">
        <v>371</v>
      </c>
      <c r="GA202" t="s">
        <v>371</v>
      </c>
      <c r="GB202" t="s">
        <v>371</v>
      </c>
      <c r="GC202" t="s">
        <v>371</v>
      </c>
      <c r="GD202" t="s">
        <v>371</v>
      </c>
      <c r="GF202" t="s">
        <v>371</v>
      </c>
      <c r="GG202" t="s">
        <v>371</v>
      </c>
      <c r="GH202" t="s">
        <v>371</v>
      </c>
      <c r="GI202" t="s">
        <v>371</v>
      </c>
      <c r="GJ202" t="s">
        <v>371</v>
      </c>
      <c r="GK202" t="s">
        <v>371</v>
      </c>
      <c r="GN202" t="s">
        <v>371</v>
      </c>
      <c r="GO202" t="s">
        <v>371</v>
      </c>
      <c r="GP202" t="s">
        <v>371</v>
      </c>
      <c r="GQ202" t="s">
        <v>371</v>
      </c>
      <c r="GR202" t="s">
        <v>371</v>
      </c>
      <c r="GS202" t="s">
        <v>371</v>
      </c>
      <c r="GT202" t="s">
        <v>371</v>
      </c>
      <c r="GU202" t="s">
        <v>371</v>
      </c>
      <c r="GV202" t="s">
        <v>371</v>
      </c>
      <c r="GW202" t="s">
        <v>371</v>
      </c>
      <c r="GX202" t="s">
        <v>371</v>
      </c>
      <c r="HA202" t="s">
        <v>375</v>
      </c>
    </row>
    <row r="203" spans="1:209" ht="14.25" customHeight="1" x14ac:dyDescent="0.25">
      <c r="A203" t="s">
        <v>526</v>
      </c>
      <c r="B203" t="s">
        <v>376</v>
      </c>
      <c r="C203">
        <v>1</v>
      </c>
      <c r="D203" t="s">
        <v>366</v>
      </c>
      <c r="E203" s="73"/>
      <c r="AA203" t="s">
        <v>377</v>
      </c>
      <c r="AB203" s="73">
        <v>46192</v>
      </c>
      <c r="AC203" t="s">
        <v>434</v>
      </c>
      <c r="AF203" t="s">
        <v>379</v>
      </c>
      <c r="AI203" t="s">
        <v>380</v>
      </c>
      <c r="AJ203">
        <v>0</v>
      </c>
      <c r="AK203" t="s">
        <v>372</v>
      </c>
      <c r="AP203" t="s">
        <v>374</v>
      </c>
      <c r="AQ203" s="73"/>
      <c r="BR203" s="73"/>
      <c r="CX203" s="73"/>
      <c r="EQ203" s="73"/>
    </row>
    <row r="204" spans="1:209" ht="14.25" customHeight="1" x14ac:dyDescent="0.25">
      <c r="A204" t="s">
        <v>526</v>
      </c>
      <c r="B204" t="s">
        <v>381</v>
      </c>
      <c r="C204">
        <v>1</v>
      </c>
      <c r="D204" t="s">
        <v>366</v>
      </c>
      <c r="E204" s="73"/>
      <c r="AB204" s="73"/>
      <c r="AQ204" s="73">
        <v>46192</v>
      </c>
      <c r="AR204" t="s">
        <v>394</v>
      </c>
      <c r="AU204" t="s">
        <v>383</v>
      </c>
      <c r="AV204" t="s">
        <v>383</v>
      </c>
      <c r="AW204" t="s">
        <v>384</v>
      </c>
      <c r="AX204" t="s">
        <v>385</v>
      </c>
      <c r="AY204" t="s">
        <v>383</v>
      </c>
      <c r="AZ204" t="s">
        <v>384</v>
      </c>
      <c r="BA204" t="s">
        <v>367</v>
      </c>
      <c r="BB204" t="s">
        <v>367</v>
      </c>
      <c r="BC204">
        <v>5</v>
      </c>
      <c r="BD204" t="s">
        <v>374</v>
      </c>
      <c r="BR204" s="73"/>
      <c r="CX204" s="73"/>
      <c r="EQ204" s="73"/>
    </row>
    <row r="205" spans="1:209" ht="14.25" customHeight="1" x14ac:dyDescent="0.25">
      <c r="A205" t="s">
        <v>528</v>
      </c>
      <c r="D205" t="s">
        <v>366</v>
      </c>
      <c r="E205" s="73">
        <v>46192</v>
      </c>
      <c r="F205" t="s">
        <v>367</v>
      </c>
      <c r="H205" t="s">
        <v>403</v>
      </c>
      <c r="I205" t="s">
        <v>403</v>
      </c>
      <c r="J205">
        <v>1982</v>
      </c>
      <c r="K205" t="s">
        <v>369</v>
      </c>
      <c r="L205" t="s">
        <v>370</v>
      </c>
      <c r="M205" t="s">
        <v>371</v>
      </c>
      <c r="N205" t="s">
        <v>371</v>
      </c>
      <c r="O205" t="s">
        <v>371</v>
      </c>
      <c r="P205" t="s">
        <v>371</v>
      </c>
      <c r="Q205" t="s">
        <v>371</v>
      </c>
      <c r="R205" t="s">
        <v>372</v>
      </c>
      <c r="S205" t="s">
        <v>372</v>
      </c>
      <c r="T205" t="s">
        <v>367</v>
      </c>
      <c r="U205" t="s">
        <v>367</v>
      </c>
      <c r="W205" t="s">
        <v>367</v>
      </c>
      <c r="X205" t="s">
        <v>373</v>
      </c>
      <c r="Y205" t="s">
        <v>421</v>
      </c>
      <c r="Z205" t="s">
        <v>374</v>
      </c>
      <c r="AB205" s="73"/>
      <c r="AQ205" s="73"/>
      <c r="BG205" t="s">
        <v>371</v>
      </c>
      <c r="BH205" t="s">
        <v>371</v>
      </c>
      <c r="BI205" t="s">
        <v>371</v>
      </c>
      <c r="BJ205" t="s">
        <v>371</v>
      </c>
      <c r="BK205" t="s">
        <v>371</v>
      </c>
      <c r="BL205" t="s">
        <v>371</v>
      </c>
      <c r="BM205" t="s">
        <v>371</v>
      </c>
      <c r="BN205" t="s">
        <v>371</v>
      </c>
      <c r="BO205" t="s">
        <v>371</v>
      </c>
      <c r="BQ205" t="s">
        <v>375</v>
      </c>
      <c r="BR205" s="73"/>
      <c r="CX205" s="73"/>
      <c r="EQ205" s="73"/>
      <c r="FT205">
        <v>0</v>
      </c>
      <c r="FZ205" t="s">
        <v>371</v>
      </c>
      <c r="GA205" t="s">
        <v>371</v>
      </c>
      <c r="GB205" t="s">
        <v>371</v>
      </c>
      <c r="GC205" t="s">
        <v>371</v>
      </c>
      <c r="GD205" t="s">
        <v>371</v>
      </c>
      <c r="GF205" t="s">
        <v>371</v>
      </c>
      <c r="GG205" t="s">
        <v>371</v>
      </c>
      <c r="GH205" t="s">
        <v>371</v>
      </c>
      <c r="GI205" t="s">
        <v>371</v>
      </c>
      <c r="GJ205" t="s">
        <v>371</v>
      </c>
      <c r="GK205" t="s">
        <v>371</v>
      </c>
      <c r="GN205" t="s">
        <v>371</v>
      </c>
      <c r="GO205" t="s">
        <v>371</v>
      </c>
      <c r="GP205" t="s">
        <v>371</v>
      </c>
      <c r="GQ205" t="s">
        <v>371</v>
      </c>
      <c r="GR205" t="s">
        <v>371</v>
      </c>
      <c r="GS205" t="s">
        <v>371</v>
      </c>
      <c r="GT205" t="s">
        <v>371</v>
      </c>
      <c r="GU205" t="s">
        <v>371</v>
      </c>
      <c r="GV205" t="s">
        <v>371</v>
      </c>
      <c r="GW205" t="s">
        <v>371</v>
      </c>
      <c r="GX205" t="s">
        <v>371</v>
      </c>
      <c r="HA205" t="s">
        <v>375</v>
      </c>
    </row>
    <row r="206" spans="1:209" ht="14.25" customHeight="1" x14ac:dyDescent="0.25">
      <c r="A206" t="s">
        <v>528</v>
      </c>
      <c r="B206" t="s">
        <v>376</v>
      </c>
      <c r="C206">
        <v>1</v>
      </c>
      <c r="D206" t="s">
        <v>366</v>
      </c>
      <c r="E206" s="73"/>
      <c r="AA206" t="s">
        <v>377</v>
      </c>
      <c r="AB206" s="73">
        <v>46192</v>
      </c>
      <c r="AC206" t="s">
        <v>434</v>
      </c>
      <c r="AF206" t="s">
        <v>379</v>
      </c>
      <c r="AI206" t="s">
        <v>380</v>
      </c>
      <c r="AJ206">
        <v>0</v>
      </c>
      <c r="AK206" t="s">
        <v>372</v>
      </c>
      <c r="AP206" t="s">
        <v>374</v>
      </c>
      <c r="AQ206" s="73"/>
      <c r="BR206" s="73"/>
      <c r="CX206" s="73"/>
      <c r="EQ206" s="73"/>
    </row>
    <row r="207" spans="1:209" ht="14.25" customHeight="1" x14ac:dyDescent="0.25">
      <c r="A207" t="s">
        <v>528</v>
      </c>
      <c r="B207" t="s">
        <v>381</v>
      </c>
      <c r="C207">
        <v>1</v>
      </c>
      <c r="D207" t="s">
        <v>366</v>
      </c>
      <c r="E207" s="73"/>
      <c r="AB207" s="73"/>
      <c r="AQ207" s="73">
        <v>46192</v>
      </c>
      <c r="AR207" t="s">
        <v>434</v>
      </c>
      <c r="AU207" t="s">
        <v>383</v>
      </c>
      <c r="AV207" t="s">
        <v>383</v>
      </c>
      <c r="AW207" t="s">
        <v>384</v>
      </c>
      <c r="AX207" t="s">
        <v>385</v>
      </c>
      <c r="AY207" t="s">
        <v>383</v>
      </c>
      <c r="AZ207" t="s">
        <v>383</v>
      </c>
      <c r="BA207" t="s">
        <v>367</v>
      </c>
      <c r="BB207" t="s">
        <v>367</v>
      </c>
      <c r="BC207">
        <v>6</v>
      </c>
      <c r="BD207" t="s">
        <v>374</v>
      </c>
      <c r="BR207" s="73"/>
      <c r="CX207" s="73"/>
      <c r="EQ207" s="73"/>
    </row>
    <row r="208" spans="1:209" ht="14.25" customHeight="1" x14ac:dyDescent="0.25">
      <c r="A208" t="s">
        <v>529</v>
      </c>
      <c r="D208" t="s">
        <v>366</v>
      </c>
      <c r="E208" s="73">
        <v>46192</v>
      </c>
      <c r="F208" t="s">
        <v>372</v>
      </c>
      <c r="G208" t="s">
        <v>530</v>
      </c>
      <c r="H208" t="s">
        <v>403</v>
      </c>
      <c r="I208" t="s">
        <v>403</v>
      </c>
      <c r="J208">
        <v>1964</v>
      </c>
      <c r="K208" t="s">
        <v>391</v>
      </c>
      <c r="L208" t="s">
        <v>370</v>
      </c>
      <c r="M208" t="s">
        <v>371</v>
      </c>
      <c r="N208" t="s">
        <v>371</v>
      </c>
      <c r="O208" t="s">
        <v>371</v>
      </c>
      <c r="P208" t="s">
        <v>371</v>
      </c>
      <c r="Q208" t="s">
        <v>371</v>
      </c>
      <c r="R208" t="s">
        <v>372</v>
      </c>
      <c r="S208" t="s">
        <v>372</v>
      </c>
      <c r="T208" t="s">
        <v>372</v>
      </c>
      <c r="U208" t="s">
        <v>367</v>
      </c>
      <c r="W208" t="s">
        <v>367</v>
      </c>
      <c r="X208" t="s">
        <v>494</v>
      </c>
      <c r="Y208" t="s">
        <v>421</v>
      </c>
      <c r="Z208" t="s">
        <v>374</v>
      </c>
      <c r="AB208" s="73"/>
      <c r="AQ208" s="73"/>
      <c r="BG208" t="s">
        <v>371</v>
      </c>
      <c r="BH208" t="s">
        <v>371</v>
      </c>
      <c r="BI208" t="s">
        <v>371</v>
      </c>
      <c r="BJ208" t="s">
        <v>371</v>
      </c>
      <c r="BK208" t="s">
        <v>371</v>
      </c>
      <c r="BL208" t="s">
        <v>371</v>
      </c>
      <c r="BM208" t="s">
        <v>371</v>
      </c>
      <c r="BN208" t="s">
        <v>371</v>
      </c>
      <c r="BO208" t="s">
        <v>371</v>
      </c>
      <c r="BQ208" t="s">
        <v>375</v>
      </c>
      <c r="BR208" s="73"/>
      <c r="CX208" s="73"/>
      <c r="EQ208" s="73"/>
      <c r="FT208">
        <v>0</v>
      </c>
      <c r="FZ208" t="s">
        <v>371</v>
      </c>
      <c r="GA208" t="s">
        <v>371</v>
      </c>
      <c r="GB208" t="s">
        <v>371</v>
      </c>
      <c r="GC208" t="s">
        <v>371</v>
      </c>
      <c r="GD208" t="s">
        <v>371</v>
      </c>
      <c r="GF208" t="s">
        <v>371</v>
      </c>
      <c r="GG208" t="s">
        <v>371</v>
      </c>
      <c r="GH208" t="s">
        <v>371</v>
      </c>
      <c r="GI208" t="s">
        <v>371</v>
      </c>
      <c r="GJ208" t="s">
        <v>371</v>
      </c>
      <c r="GK208" t="s">
        <v>371</v>
      </c>
      <c r="GN208" t="s">
        <v>371</v>
      </c>
      <c r="GO208" t="s">
        <v>371</v>
      </c>
      <c r="GP208" t="s">
        <v>371</v>
      </c>
      <c r="GQ208" t="s">
        <v>371</v>
      </c>
      <c r="GR208" t="s">
        <v>371</v>
      </c>
      <c r="GS208" t="s">
        <v>371</v>
      </c>
      <c r="GT208" t="s">
        <v>371</v>
      </c>
      <c r="GU208" t="s">
        <v>371</v>
      </c>
      <c r="GV208" t="s">
        <v>371</v>
      </c>
      <c r="GW208" t="s">
        <v>371</v>
      </c>
      <c r="GX208" t="s">
        <v>371</v>
      </c>
      <c r="HA208" t="s">
        <v>375</v>
      </c>
    </row>
    <row r="209" spans="1:209" ht="14.25" customHeight="1" x14ac:dyDescent="0.25">
      <c r="A209" t="s">
        <v>529</v>
      </c>
      <c r="B209" t="s">
        <v>376</v>
      </c>
      <c r="C209">
        <v>1</v>
      </c>
      <c r="D209" t="s">
        <v>366</v>
      </c>
      <c r="E209" s="73"/>
      <c r="AA209" t="s">
        <v>377</v>
      </c>
      <c r="AB209" s="73">
        <v>46192</v>
      </c>
      <c r="AC209" t="s">
        <v>434</v>
      </c>
      <c r="AF209" t="s">
        <v>379</v>
      </c>
      <c r="AI209" t="s">
        <v>380</v>
      </c>
      <c r="AJ209">
        <v>0</v>
      </c>
      <c r="AK209" t="s">
        <v>372</v>
      </c>
      <c r="AP209" t="s">
        <v>374</v>
      </c>
      <c r="AQ209" s="73"/>
      <c r="BR209" s="73"/>
      <c r="CX209" s="73"/>
      <c r="EQ209" s="73"/>
    </row>
    <row r="210" spans="1:209" ht="14.25" customHeight="1" x14ac:dyDescent="0.25">
      <c r="A210" t="s">
        <v>529</v>
      </c>
      <c r="B210" t="s">
        <v>381</v>
      </c>
      <c r="C210">
        <v>1</v>
      </c>
      <c r="D210" t="s">
        <v>366</v>
      </c>
      <c r="E210" s="73"/>
      <c r="AB210" s="73"/>
      <c r="AQ210" s="73">
        <v>46192</v>
      </c>
      <c r="AR210" t="s">
        <v>397</v>
      </c>
      <c r="AU210" t="s">
        <v>384</v>
      </c>
      <c r="AV210" t="s">
        <v>383</v>
      </c>
      <c r="AW210" t="s">
        <v>384</v>
      </c>
      <c r="AX210" t="s">
        <v>383</v>
      </c>
      <c r="AY210" t="s">
        <v>384</v>
      </c>
      <c r="AZ210" t="s">
        <v>384</v>
      </c>
      <c r="BA210" t="s">
        <v>367</v>
      </c>
      <c r="BB210" t="s">
        <v>367</v>
      </c>
      <c r="BC210">
        <v>2</v>
      </c>
      <c r="BD210" t="s">
        <v>374</v>
      </c>
      <c r="BR210" s="73"/>
      <c r="CX210" s="73"/>
      <c r="EQ210" s="73"/>
    </row>
    <row r="211" spans="1:209" ht="14.25" customHeight="1" x14ac:dyDescent="0.25">
      <c r="A211" t="s">
        <v>531</v>
      </c>
      <c r="D211" t="s">
        <v>366</v>
      </c>
      <c r="E211" s="73">
        <v>46192</v>
      </c>
      <c r="F211" t="s">
        <v>367</v>
      </c>
      <c r="H211" t="s">
        <v>368</v>
      </c>
      <c r="I211" t="s">
        <v>368</v>
      </c>
      <c r="J211">
        <v>1960</v>
      </c>
      <c r="K211" t="s">
        <v>391</v>
      </c>
      <c r="L211" t="s">
        <v>370</v>
      </c>
      <c r="M211" t="s">
        <v>371</v>
      </c>
      <c r="N211" t="s">
        <v>371</v>
      </c>
      <c r="O211" t="s">
        <v>371</v>
      </c>
      <c r="P211" t="s">
        <v>371</v>
      </c>
      <c r="Q211" t="s">
        <v>371</v>
      </c>
      <c r="R211" t="s">
        <v>372</v>
      </c>
      <c r="S211" t="s">
        <v>372</v>
      </c>
      <c r="T211" t="s">
        <v>372</v>
      </c>
      <c r="U211" t="s">
        <v>367</v>
      </c>
      <c r="W211" t="s">
        <v>367</v>
      </c>
      <c r="X211" t="s">
        <v>432</v>
      </c>
      <c r="Y211" t="s">
        <v>396</v>
      </c>
      <c r="Z211" t="s">
        <v>374</v>
      </c>
      <c r="AB211" s="73"/>
      <c r="AQ211" s="73"/>
      <c r="BG211" t="s">
        <v>371</v>
      </c>
      <c r="BH211" t="s">
        <v>371</v>
      </c>
      <c r="BI211" t="s">
        <v>371</v>
      </c>
      <c r="BJ211" t="s">
        <v>371</v>
      </c>
      <c r="BK211" t="s">
        <v>371</v>
      </c>
      <c r="BL211" t="s">
        <v>371</v>
      </c>
      <c r="BM211" t="s">
        <v>371</v>
      </c>
      <c r="BN211" t="s">
        <v>371</v>
      </c>
      <c r="BO211" t="s">
        <v>371</v>
      </c>
      <c r="BQ211" t="s">
        <v>375</v>
      </c>
      <c r="BR211" s="73"/>
      <c r="CX211" s="73"/>
      <c r="EQ211" s="73"/>
      <c r="FT211">
        <v>0</v>
      </c>
      <c r="FZ211" t="s">
        <v>371</v>
      </c>
      <c r="GA211" t="s">
        <v>371</v>
      </c>
      <c r="GB211" t="s">
        <v>371</v>
      </c>
      <c r="GC211" t="s">
        <v>371</v>
      </c>
      <c r="GD211" t="s">
        <v>371</v>
      </c>
      <c r="GF211" t="s">
        <v>371</v>
      </c>
      <c r="GG211" t="s">
        <v>371</v>
      </c>
      <c r="GH211" t="s">
        <v>371</v>
      </c>
      <c r="GI211" t="s">
        <v>371</v>
      </c>
      <c r="GJ211" t="s">
        <v>371</v>
      </c>
      <c r="GK211" t="s">
        <v>371</v>
      </c>
      <c r="GN211" t="s">
        <v>371</v>
      </c>
      <c r="GO211" t="s">
        <v>371</v>
      </c>
      <c r="GP211" t="s">
        <v>371</v>
      </c>
      <c r="GQ211" t="s">
        <v>371</v>
      </c>
      <c r="GR211" t="s">
        <v>371</v>
      </c>
      <c r="GS211" t="s">
        <v>371</v>
      </c>
      <c r="GT211" t="s">
        <v>371</v>
      </c>
      <c r="GU211" t="s">
        <v>371</v>
      </c>
      <c r="GV211" t="s">
        <v>371</v>
      </c>
      <c r="GW211" t="s">
        <v>371</v>
      </c>
      <c r="GX211" t="s">
        <v>371</v>
      </c>
      <c r="HA211" t="s">
        <v>375</v>
      </c>
    </row>
    <row r="212" spans="1:209" ht="14.25" customHeight="1" x14ac:dyDescent="0.25">
      <c r="A212" t="s">
        <v>531</v>
      </c>
      <c r="B212" t="s">
        <v>376</v>
      </c>
      <c r="C212">
        <v>1</v>
      </c>
      <c r="D212" t="s">
        <v>366</v>
      </c>
      <c r="E212" s="73"/>
      <c r="AA212" t="s">
        <v>377</v>
      </c>
      <c r="AB212" s="73">
        <v>46192</v>
      </c>
      <c r="AC212" t="s">
        <v>434</v>
      </c>
      <c r="AF212" t="s">
        <v>379</v>
      </c>
      <c r="AI212" t="s">
        <v>514</v>
      </c>
      <c r="AJ212">
        <v>0</v>
      </c>
      <c r="AK212" t="s">
        <v>372</v>
      </c>
      <c r="AP212" t="s">
        <v>374</v>
      </c>
      <c r="AQ212" s="73"/>
      <c r="BR212" s="73"/>
      <c r="CX212" s="73"/>
      <c r="EQ212" s="73"/>
    </row>
    <row r="213" spans="1:209" ht="14.25" customHeight="1" x14ac:dyDescent="0.25">
      <c r="A213" t="s">
        <v>531</v>
      </c>
      <c r="B213" t="s">
        <v>381</v>
      </c>
      <c r="C213">
        <v>1</v>
      </c>
      <c r="D213" t="s">
        <v>366</v>
      </c>
      <c r="E213" s="73"/>
      <c r="AB213" s="73"/>
      <c r="AQ213" s="73">
        <v>46192</v>
      </c>
      <c r="AR213" t="s">
        <v>394</v>
      </c>
      <c r="AU213" t="s">
        <v>383</v>
      </c>
      <c r="AV213" t="s">
        <v>383</v>
      </c>
      <c r="AW213" t="s">
        <v>384</v>
      </c>
      <c r="AX213" t="s">
        <v>383</v>
      </c>
      <c r="AY213" t="s">
        <v>384</v>
      </c>
      <c r="AZ213" t="s">
        <v>384</v>
      </c>
      <c r="BA213" t="s">
        <v>367</v>
      </c>
      <c r="BB213" t="s">
        <v>372</v>
      </c>
      <c r="BC213">
        <v>5</v>
      </c>
      <c r="BD213" t="s">
        <v>374</v>
      </c>
      <c r="BR213" s="73"/>
      <c r="CX213" s="73"/>
      <c r="EQ213" s="73"/>
    </row>
    <row r="214" spans="1:209" ht="14.25" customHeight="1" x14ac:dyDescent="0.25">
      <c r="A214" t="s">
        <v>532</v>
      </c>
      <c r="D214" t="s">
        <v>366</v>
      </c>
      <c r="E214" s="73">
        <v>46192</v>
      </c>
      <c r="F214" t="s">
        <v>372</v>
      </c>
      <c r="G214" t="s">
        <v>533</v>
      </c>
      <c r="H214" t="s">
        <v>403</v>
      </c>
      <c r="I214" t="s">
        <v>403</v>
      </c>
      <c r="J214">
        <v>1976</v>
      </c>
      <c r="K214" t="s">
        <v>391</v>
      </c>
      <c r="L214" t="s">
        <v>370</v>
      </c>
      <c r="M214" t="s">
        <v>371</v>
      </c>
      <c r="N214" t="s">
        <v>371</v>
      </c>
      <c r="O214" t="s">
        <v>371</v>
      </c>
      <c r="P214" t="s">
        <v>371</v>
      </c>
      <c r="Q214" t="s">
        <v>371</v>
      </c>
      <c r="R214" t="s">
        <v>372</v>
      </c>
      <c r="S214" t="s">
        <v>372</v>
      </c>
      <c r="T214" t="s">
        <v>372</v>
      </c>
      <c r="U214" t="s">
        <v>367</v>
      </c>
      <c r="W214" t="s">
        <v>367</v>
      </c>
      <c r="X214" t="s">
        <v>494</v>
      </c>
      <c r="Y214" t="s">
        <v>421</v>
      </c>
      <c r="Z214" t="s">
        <v>374</v>
      </c>
      <c r="AB214" s="73"/>
      <c r="AQ214" s="73"/>
      <c r="BG214" t="s">
        <v>371</v>
      </c>
      <c r="BH214" t="s">
        <v>371</v>
      </c>
      <c r="BI214" t="s">
        <v>371</v>
      </c>
      <c r="BJ214" t="s">
        <v>371</v>
      </c>
      <c r="BK214" t="s">
        <v>371</v>
      </c>
      <c r="BL214" t="s">
        <v>371</v>
      </c>
      <c r="BM214" t="s">
        <v>371</v>
      </c>
      <c r="BN214" t="s">
        <v>371</v>
      </c>
      <c r="BO214" t="s">
        <v>371</v>
      </c>
      <c r="BQ214" t="s">
        <v>375</v>
      </c>
      <c r="BR214" s="73"/>
      <c r="CX214" s="73"/>
      <c r="EQ214" s="73"/>
      <c r="FT214">
        <v>0</v>
      </c>
      <c r="FZ214" t="s">
        <v>371</v>
      </c>
      <c r="GA214" t="s">
        <v>371</v>
      </c>
      <c r="GB214" t="s">
        <v>371</v>
      </c>
      <c r="GC214" t="s">
        <v>371</v>
      </c>
      <c r="GD214" t="s">
        <v>371</v>
      </c>
      <c r="GF214" t="s">
        <v>371</v>
      </c>
      <c r="GG214" t="s">
        <v>371</v>
      </c>
      <c r="GH214" t="s">
        <v>371</v>
      </c>
      <c r="GI214" t="s">
        <v>371</v>
      </c>
      <c r="GJ214" t="s">
        <v>371</v>
      </c>
      <c r="GK214" t="s">
        <v>371</v>
      </c>
      <c r="GN214" t="s">
        <v>371</v>
      </c>
      <c r="GO214" t="s">
        <v>371</v>
      </c>
      <c r="GP214" t="s">
        <v>371</v>
      </c>
      <c r="GQ214" t="s">
        <v>371</v>
      </c>
      <c r="GR214" t="s">
        <v>371</v>
      </c>
      <c r="GS214" t="s">
        <v>371</v>
      </c>
      <c r="GT214" t="s">
        <v>371</v>
      </c>
      <c r="GU214" t="s">
        <v>371</v>
      </c>
      <c r="GV214" t="s">
        <v>371</v>
      </c>
      <c r="GW214" t="s">
        <v>371</v>
      </c>
      <c r="GX214" t="s">
        <v>371</v>
      </c>
      <c r="HA214" t="s">
        <v>375</v>
      </c>
    </row>
    <row r="215" spans="1:209" ht="14.25" customHeight="1" x14ac:dyDescent="0.25">
      <c r="A215" t="s">
        <v>532</v>
      </c>
      <c r="B215" t="s">
        <v>376</v>
      </c>
      <c r="C215">
        <v>1</v>
      </c>
      <c r="D215" t="s">
        <v>366</v>
      </c>
      <c r="E215" s="73"/>
      <c r="AA215" t="s">
        <v>377</v>
      </c>
      <c r="AB215" s="73">
        <v>46192</v>
      </c>
      <c r="AC215" t="s">
        <v>434</v>
      </c>
      <c r="AF215" t="s">
        <v>379</v>
      </c>
      <c r="AI215" t="s">
        <v>380</v>
      </c>
      <c r="AJ215">
        <v>0</v>
      </c>
      <c r="AK215" t="s">
        <v>372</v>
      </c>
      <c r="AP215" t="s">
        <v>374</v>
      </c>
      <c r="AQ215" s="73"/>
      <c r="BR215" s="73"/>
      <c r="CX215" s="73"/>
      <c r="EQ215" s="73"/>
    </row>
    <row r="216" spans="1:209" ht="14.25" customHeight="1" x14ac:dyDescent="0.25">
      <c r="A216" t="s">
        <v>532</v>
      </c>
      <c r="B216" t="s">
        <v>381</v>
      </c>
      <c r="C216">
        <v>1</v>
      </c>
      <c r="D216" t="s">
        <v>366</v>
      </c>
      <c r="E216" s="73"/>
      <c r="AB216" s="73"/>
      <c r="AQ216" s="73">
        <v>46192</v>
      </c>
      <c r="AR216" t="s">
        <v>394</v>
      </c>
      <c r="AU216" t="s">
        <v>383</v>
      </c>
      <c r="AV216" t="s">
        <v>384</v>
      </c>
      <c r="AW216" t="s">
        <v>384</v>
      </c>
      <c r="AX216" t="s">
        <v>383</v>
      </c>
      <c r="AY216" t="s">
        <v>383</v>
      </c>
      <c r="AZ216" t="s">
        <v>384</v>
      </c>
      <c r="BA216" t="s">
        <v>367</v>
      </c>
      <c r="BB216" t="s">
        <v>372</v>
      </c>
      <c r="BC216">
        <v>5</v>
      </c>
      <c r="BD216" t="s">
        <v>374</v>
      </c>
      <c r="BR216" s="73"/>
      <c r="CX216" s="73"/>
      <c r="EQ216" s="73"/>
    </row>
    <row r="217" spans="1:209" ht="14.25" customHeight="1" x14ac:dyDescent="0.25">
      <c r="A217" t="s">
        <v>534</v>
      </c>
      <c r="D217" t="s">
        <v>366</v>
      </c>
      <c r="E217" s="73">
        <v>46193</v>
      </c>
      <c r="F217" t="s">
        <v>367</v>
      </c>
      <c r="H217" t="s">
        <v>403</v>
      </c>
      <c r="I217" t="s">
        <v>403</v>
      </c>
      <c r="J217">
        <v>1980</v>
      </c>
      <c r="K217" t="s">
        <v>448</v>
      </c>
      <c r="L217" t="s">
        <v>371</v>
      </c>
      <c r="M217" t="s">
        <v>370</v>
      </c>
      <c r="N217" t="s">
        <v>371</v>
      </c>
      <c r="O217" t="s">
        <v>371</v>
      </c>
      <c r="P217" t="s">
        <v>371</v>
      </c>
      <c r="Q217" t="s">
        <v>371</v>
      </c>
      <c r="R217" t="s">
        <v>372</v>
      </c>
      <c r="S217" t="s">
        <v>372</v>
      </c>
      <c r="T217" t="s">
        <v>367</v>
      </c>
      <c r="U217" t="s">
        <v>367</v>
      </c>
      <c r="W217" t="s">
        <v>367</v>
      </c>
      <c r="X217" t="s">
        <v>399</v>
      </c>
      <c r="Y217" t="s">
        <v>421</v>
      </c>
      <c r="Z217" t="s">
        <v>374</v>
      </c>
      <c r="AB217" s="73"/>
      <c r="AQ217" s="73"/>
      <c r="BG217" t="s">
        <v>371</v>
      </c>
      <c r="BH217" t="s">
        <v>371</v>
      </c>
      <c r="BI217" t="s">
        <v>371</v>
      </c>
      <c r="BJ217" t="s">
        <v>371</v>
      </c>
      <c r="BK217" t="s">
        <v>371</v>
      </c>
      <c r="BL217" t="s">
        <v>371</v>
      </c>
      <c r="BM217" t="s">
        <v>371</v>
      </c>
      <c r="BN217" t="s">
        <v>371</v>
      </c>
      <c r="BO217" t="s">
        <v>371</v>
      </c>
      <c r="BQ217" t="s">
        <v>375</v>
      </c>
      <c r="BR217" s="73"/>
      <c r="CX217" s="73"/>
      <c r="EQ217" s="73"/>
      <c r="FT217">
        <v>0</v>
      </c>
      <c r="FZ217" t="s">
        <v>371</v>
      </c>
      <c r="GA217" t="s">
        <v>371</v>
      </c>
      <c r="GB217" t="s">
        <v>371</v>
      </c>
      <c r="GC217" t="s">
        <v>371</v>
      </c>
      <c r="GD217" t="s">
        <v>371</v>
      </c>
      <c r="GF217" t="s">
        <v>371</v>
      </c>
      <c r="GG217" t="s">
        <v>371</v>
      </c>
      <c r="GH217" t="s">
        <v>371</v>
      </c>
      <c r="GI217" t="s">
        <v>371</v>
      </c>
      <c r="GJ217" t="s">
        <v>371</v>
      </c>
      <c r="GK217" t="s">
        <v>371</v>
      </c>
      <c r="GN217" t="s">
        <v>371</v>
      </c>
      <c r="GO217" t="s">
        <v>371</v>
      </c>
      <c r="GP217" t="s">
        <v>371</v>
      </c>
      <c r="GQ217" t="s">
        <v>371</v>
      </c>
      <c r="GR217" t="s">
        <v>371</v>
      </c>
      <c r="GS217" t="s">
        <v>371</v>
      </c>
      <c r="GT217" t="s">
        <v>371</v>
      </c>
      <c r="GU217" t="s">
        <v>371</v>
      </c>
      <c r="GV217" t="s">
        <v>371</v>
      </c>
      <c r="GW217" t="s">
        <v>371</v>
      </c>
      <c r="GX217" t="s">
        <v>371</v>
      </c>
      <c r="HA217" t="s">
        <v>375</v>
      </c>
    </row>
    <row r="218" spans="1:209" ht="14.25" customHeight="1" x14ac:dyDescent="0.25">
      <c r="A218" t="s">
        <v>534</v>
      </c>
      <c r="B218" t="s">
        <v>376</v>
      </c>
      <c r="C218">
        <v>1</v>
      </c>
      <c r="D218" t="s">
        <v>366</v>
      </c>
      <c r="E218" s="73"/>
      <c r="AA218" t="s">
        <v>377</v>
      </c>
      <c r="AB218" s="73">
        <v>46193</v>
      </c>
      <c r="AC218" t="s">
        <v>434</v>
      </c>
      <c r="AF218" t="s">
        <v>379</v>
      </c>
      <c r="AI218" t="s">
        <v>380</v>
      </c>
      <c r="AJ218">
        <v>0</v>
      </c>
      <c r="AK218" t="s">
        <v>372</v>
      </c>
      <c r="AP218" t="s">
        <v>374</v>
      </c>
      <c r="AQ218" s="73"/>
      <c r="BR218" s="73"/>
      <c r="CX218" s="73"/>
      <c r="EQ218" s="73"/>
    </row>
    <row r="219" spans="1:209" ht="14.25" customHeight="1" x14ac:dyDescent="0.25">
      <c r="A219" t="s">
        <v>534</v>
      </c>
      <c r="B219" t="s">
        <v>381</v>
      </c>
      <c r="C219">
        <v>1</v>
      </c>
      <c r="D219" t="s">
        <v>366</v>
      </c>
      <c r="E219" s="73"/>
      <c r="AB219" s="73"/>
      <c r="AQ219" s="73">
        <v>46193</v>
      </c>
      <c r="AR219" t="s">
        <v>382</v>
      </c>
      <c r="AU219" t="s">
        <v>384</v>
      </c>
      <c r="AV219" t="s">
        <v>383</v>
      </c>
      <c r="AW219" t="s">
        <v>383</v>
      </c>
      <c r="AX219" t="s">
        <v>383</v>
      </c>
      <c r="AY219" t="s">
        <v>404</v>
      </c>
      <c r="AZ219" t="s">
        <v>384</v>
      </c>
      <c r="BA219" t="s">
        <v>367</v>
      </c>
      <c r="BB219" t="s">
        <v>367</v>
      </c>
      <c r="BC219">
        <v>6</v>
      </c>
      <c r="BD219" t="s">
        <v>374</v>
      </c>
      <c r="BR219" s="73"/>
      <c r="CX219" s="73"/>
      <c r="EQ219" s="73"/>
    </row>
    <row r="220" spans="1:209" ht="14.25" customHeight="1" x14ac:dyDescent="0.25">
      <c r="A220" t="s">
        <v>535</v>
      </c>
      <c r="D220" t="s">
        <v>366</v>
      </c>
      <c r="E220" s="73">
        <v>46193</v>
      </c>
      <c r="F220" t="s">
        <v>367</v>
      </c>
      <c r="H220" t="s">
        <v>403</v>
      </c>
      <c r="I220" t="s">
        <v>403</v>
      </c>
      <c r="J220">
        <v>1980</v>
      </c>
      <c r="K220" t="s">
        <v>391</v>
      </c>
      <c r="L220" t="s">
        <v>370</v>
      </c>
      <c r="M220" t="s">
        <v>371</v>
      </c>
      <c r="N220" t="s">
        <v>371</v>
      </c>
      <c r="O220" t="s">
        <v>371</v>
      </c>
      <c r="P220" t="s">
        <v>371</v>
      </c>
      <c r="Q220" t="s">
        <v>371</v>
      </c>
      <c r="R220" t="s">
        <v>372</v>
      </c>
      <c r="S220" t="s">
        <v>372</v>
      </c>
      <c r="T220" t="s">
        <v>372</v>
      </c>
      <c r="U220" t="s">
        <v>367</v>
      </c>
      <c r="W220" t="s">
        <v>367</v>
      </c>
      <c r="X220" t="s">
        <v>494</v>
      </c>
      <c r="Y220" t="s">
        <v>396</v>
      </c>
      <c r="Z220" t="s">
        <v>374</v>
      </c>
      <c r="AB220" s="73"/>
      <c r="AQ220" s="73"/>
      <c r="BG220" t="s">
        <v>371</v>
      </c>
      <c r="BH220" t="s">
        <v>371</v>
      </c>
      <c r="BI220" t="s">
        <v>371</v>
      </c>
      <c r="BJ220" t="s">
        <v>371</v>
      </c>
      <c r="BK220" t="s">
        <v>371</v>
      </c>
      <c r="BL220" t="s">
        <v>371</v>
      </c>
      <c r="BM220" t="s">
        <v>371</v>
      </c>
      <c r="BN220" t="s">
        <v>371</v>
      </c>
      <c r="BO220" t="s">
        <v>371</v>
      </c>
      <c r="BQ220" t="s">
        <v>375</v>
      </c>
      <c r="BR220" s="73"/>
      <c r="CX220" s="73"/>
      <c r="EQ220" s="73"/>
      <c r="FT220">
        <v>0</v>
      </c>
      <c r="FZ220" t="s">
        <v>371</v>
      </c>
      <c r="GA220" t="s">
        <v>371</v>
      </c>
      <c r="GB220" t="s">
        <v>371</v>
      </c>
      <c r="GC220" t="s">
        <v>371</v>
      </c>
      <c r="GD220" t="s">
        <v>371</v>
      </c>
      <c r="GF220" t="s">
        <v>371</v>
      </c>
      <c r="GG220" t="s">
        <v>371</v>
      </c>
      <c r="GH220" t="s">
        <v>371</v>
      </c>
      <c r="GI220" t="s">
        <v>371</v>
      </c>
      <c r="GJ220" t="s">
        <v>371</v>
      </c>
      <c r="GK220" t="s">
        <v>371</v>
      </c>
      <c r="GN220" t="s">
        <v>371</v>
      </c>
      <c r="GO220" t="s">
        <v>371</v>
      </c>
      <c r="GP220" t="s">
        <v>371</v>
      </c>
      <c r="GQ220" t="s">
        <v>371</v>
      </c>
      <c r="GR220" t="s">
        <v>371</v>
      </c>
      <c r="GS220" t="s">
        <v>371</v>
      </c>
      <c r="GT220" t="s">
        <v>371</v>
      </c>
      <c r="GU220" t="s">
        <v>371</v>
      </c>
      <c r="GV220" t="s">
        <v>371</v>
      </c>
      <c r="GW220" t="s">
        <v>371</v>
      </c>
      <c r="GX220" t="s">
        <v>371</v>
      </c>
      <c r="HA220" t="s">
        <v>375</v>
      </c>
    </row>
    <row r="221" spans="1:209" ht="14.25" customHeight="1" x14ac:dyDescent="0.25">
      <c r="A221" t="s">
        <v>535</v>
      </c>
      <c r="B221" t="s">
        <v>376</v>
      </c>
      <c r="C221">
        <v>1</v>
      </c>
      <c r="D221" t="s">
        <v>366</v>
      </c>
      <c r="E221" s="73"/>
      <c r="AA221" t="s">
        <v>377</v>
      </c>
      <c r="AB221" s="73">
        <v>46193</v>
      </c>
      <c r="AC221" t="s">
        <v>394</v>
      </c>
      <c r="AF221" t="s">
        <v>379</v>
      </c>
      <c r="AI221" t="s">
        <v>380</v>
      </c>
      <c r="AJ221">
        <v>0</v>
      </c>
      <c r="AK221" t="s">
        <v>372</v>
      </c>
      <c r="AP221" t="s">
        <v>374</v>
      </c>
      <c r="AQ221" s="73"/>
      <c r="BR221" s="73"/>
      <c r="CX221" s="73"/>
      <c r="EQ221" s="73"/>
    </row>
    <row r="222" spans="1:209" ht="14.25" customHeight="1" x14ac:dyDescent="0.25">
      <c r="A222" t="s">
        <v>535</v>
      </c>
      <c r="B222" t="s">
        <v>381</v>
      </c>
      <c r="C222">
        <v>1</v>
      </c>
      <c r="D222" t="s">
        <v>366</v>
      </c>
      <c r="E222" s="73"/>
      <c r="AB222" s="73"/>
      <c r="AQ222" s="73">
        <v>46193</v>
      </c>
      <c r="AR222" t="s">
        <v>397</v>
      </c>
      <c r="AU222" t="s">
        <v>384</v>
      </c>
      <c r="AV222" t="s">
        <v>383</v>
      </c>
      <c r="AW222" t="s">
        <v>384</v>
      </c>
      <c r="AX222" t="s">
        <v>383</v>
      </c>
      <c r="AY222" t="s">
        <v>384</v>
      </c>
      <c r="AZ222" t="s">
        <v>384</v>
      </c>
      <c r="BA222" t="s">
        <v>367</v>
      </c>
      <c r="BB222" t="s">
        <v>367</v>
      </c>
      <c r="BC222">
        <v>2</v>
      </c>
      <c r="BD222" t="s">
        <v>374</v>
      </c>
      <c r="BR222" s="73"/>
      <c r="CX222" s="73"/>
      <c r="EQ222" s="73"/>
    </row>
    <row r="223" spans="1:209" ht="14.25" customHeight="1" x14ac:dyDescent="0.25">
      <c r="A223" t="s">
        <v>536</v>
      </c>
      <c r="D223" t="s">
        <v>366</v>
      </c>
      <c r="E223" s="73">
        <v>46193</v>
      </c>
      <c r="F223" t="s">
        <v>372</v>
      </c>
      <c r="G223" t="s">
        <v>537</v>
      </c>
      <c r="H223" t="s">
        <v>403</v>
      </c>
      <c r="I223" t="s">
        <v>403</v>
      </c>
      <c r="J223">
        <v>1986</v>
      </c>
      <c r="K223" t="s">
        <v>369</v>
      </c>
      <c r="L223" t="s">
        <v>370</v>
      </c>
      <c r="M223" t="s">
        <v>371</v>
      </c>
      <c r="N223" t="s">
        <v>371</v>
      </c>
      <c r="O223" t="s">
        <v>371</v>
      </c>
      <c r="P223" t="s">
        <v>371</v>
      </c>
      <c r="Q223" t="s">
        <v>371</v>
      </c>
      <c r="R223" t="s">
        <v>372</v>
      </c>
      <c r="S223" t="s">
        <v>372</v>
      </c>
      <c r="T223" t="s">
        <v>367</v>
      </c>
      <c r="U223" t="s">
        <v>367</v>
      </c>
      <c r="W223" t="s">
        <v>367</v>
      </c>
      <c r="X223" t="s">
        <v>399</v>
      </c>
      <c r="Y223" t="s">
        <v>421</v>
      </c>
      <c r="Z223" t="s">
        <v>374</v>
      </c>
      <c r="AB223" s="73"/>
      <c r="AQ223" s="73"/>
      <c r="BG223" t="s">
        <v>371</v>
      </c>
      <c r="BH223" t="s">
        <v>371</v>
      </c>
      <c r="BI223" t="s">
        <v>371</v>
      </c>
      <c r="BJ223" t="s">
        <v>371</v>
      </c>
      <c r="BK223" t="s">
        <v>371</v>
      </c>
      <c r="BL223" t="s">
        <v>371</v>
      </c>
      <c r="BM223" t="s">
        <v>371</v>
      </c>
      <c r="BN223" t="s">
        <v>371</v>
      </c>
      <c r="BO223" t="s">
        <v>371</v>
      </c>
      <c r="BQ223" t="s">
        <v>375</v>
      </c>
      <c r="BR223" s="73"/>
      <c r="CX223" s="73"/>
      <c r="EQ223" s="73"/>
      <c r="FT223">
        <v>0</v>
      </c>
      <c r="FZ223" t="s">
        <v>371</v>
      </c>
      <c r="GA223" t="s">
        <v>371</v>
      </c>
      <c r="GB223" t="s">
        <v>371</v>
      </c>
      <c r="GC223" t="s">
        <v>371</v>
      </c>
      <c r="GD223" t="s">
        <v>371</v>
      </c>
      <c r="GF223" t="s">
        <v>371</v>
      </c>
      <c r="GG223" t="s">
        <v>371</v>
      </c>
      <c r="GH223" t="s">
        <v>371</v>
      </c>
      <c r="GI223" t="s">
        <v>371</v>
      </c>
      <c r="GJ223" t="s">
        <v>371</v>
      </c>
      <c r="GK223" t="s">
        <v>371</v>
      </c>
      <c r="GN223" t="s">
        <v>371</v>
      </c>
      <c r="GO223" t="s">
        <v>371</v>
      </c>
      <c r="GP223" t="s">
        <v>371</v>
      </c>
      <c r="GQ223" t="s">
        <v>371</v>
      </c>
      <c r="GR223" t="s">
        <v>371</v>
      </c>
      <c r="GS223" t="s">
        <v>371</v>
      </c>
      <c r="GT223" t="s">
        <v>371</v>
      </c>
      <c r="GU223" t="s">
        <v>371</v>
      </c>
      <c r="GV223" t="s">
        <v>371</v>
      </c>
      <c r="GW223" t="s">
        <v>371</v>
      </c>
      <c r="GX223" t="s">
        <v>371</v>
      </c>
      <c r="HA223" t="s">
        <v>375</v>
      </c>
    </row>
    <row r="224" spans="1:209" ht="14.25" customHeight="1" x14ac:dyDescent="0.25">
      <c r="A224" t="s">
        <v>536</v>
      </c>
      <c r="B224" t="s">
        <v>376</v>
      </c>
      <c r="C224">
        <v>1</v>
      </c>
      <c r="D224" t="s">
        <v>366</v>
      </c>
      <c r="E224" s="73"/>
      <c r="AA224" t="s">
        <v>377</v>
      </c>
      <c r="AB224" s="73">
        <v>46193</v>
      </c>
      <c r="AC224" t="s">
        <v>394</v>
      </c>
      <c r="AF224" t="s">
        <v>379</v>
      </c>
      <c r="AI224" t="s">
        <v>380</v>
      </c>
      <c r="AJ224">
        <v>0</v>
      </c>
      <c r="AK224" t="s">
        <v>372</v>
      </c>
      <c r="AP224" t="s">
        <v>374</v>
      </c>
      <c r="AQ224" s="73"/>
      <c r="BR224" s="73"/>
      <c r="CX224" s="73"/>
      <c r="EQ224" s="73"/>
    </row>
    <row r="225" spans="1:209" ht="14.25" customHeight="1" x14ac:dyDescent="0.25">
      <c r="A225" t="s">
        <v>536</v>
      </c>
      <c r="B225" t="s">
        <v>381</v>
      </c>
      <c r="C225">
        <v>1</v>
      </c>
      <c r="D225" t="s">
        <v>366</v>
      </c>
      <c r="E225" s="73"/>
      <c r="AB225" s="73"/>
      <c r="AQ225" s="73">
        <v>46193</v>
      </c>
      <c r="AR225" t="s">
        <v>378</v>
      </c>
      <c r="AU225" t="s">
        <v>383</v>
      </c>
      <c r="AV225" t="s">
        <v>383</v>
      </c>
      <c r="AW225" t="s">
        <v>384</v>
      </c>
      <c r="AX225" t="s">
        <v>385</v>
      </c>
      <c r="AY225" t="s">
        <v>383</v>
      </c>
      <c r="AZ225" t="s">
        <v>383</v>
      </c>
      <c r="BA225" t="s">
        <v>367</v>
      </c>
      <c r="BB225" t="s">
        <v>372</v>
      </c>
      <c r="BC225">
        <v>8</v>
      </c>
      <c r="BD225" t="s">
        <v>374</v>
      </c>
      <c r="BR225" s="73"/>
      <c r="CX225" s="73"/>
      <c r="EQ225" s="73"/>
    </row>
    <row r="226" spans="1:209" ht="14.25" customHeight="1" x14ac:dyDescent="0.25">
      <c r="A226" t="s">
        <v>538</v>
      </c>
      <c r="D226" t="s">
        <v>366</v>
      </c>
      <c r="E226" s="73">
        <v>46193</v>
      </c>
      <c r="F226" t="s">
        <v>372</v>
      </c>
      <c r="G226" t="s">
        <v>539</v>
      </c>
      <c r="H226" t="s">
        <v>403</v>
      </c>
      <c r="I226" t="s">
        <v>403</v>
      </c>
      <c r="J226">
        <v>1970</v>
      </c>
      <c r="K226" t="s">
        <v>391</v>
      </c>
      <c r="L226" t="s">
        <v>370</v>
      </c>
      <c r="M226" t="s">
        <v>371</v>
      </c>
      <c r="N226" t="s">
        <v>371</v>
      </c>
      <c r="O226" t="s">
        <v>371</v>
      </c>
      <c r="P226" t="s">
        <v>371</v>
      </c>
      <c r="Q226" t="s">
        <v>371</v>
      </c>
      <c r="R226" t="s">
        <v>372</v>
      </c>
      <c r="S226" t="s">
        <v>372</v>
      </c>
      <c r="T226" t="s">
        <v>372</v>
      </c>
      <c r="U226" t="s">
        <v>367</v>
      </c>
      <c r="W226" t="s">
        <v>367</v>
      </c>
      <c r="X226" t="s">
        <v>373</v>
      </c>
      <c r="Y226" t="s">
        <v>421</v>
      </c>
      <c r="Z226" t="s">
        <v>374</v>
      </c>
      <c r="AB226" s="73"/>
      <c r="AQ226" s="73"/>
      <c r="BG226" t="s">
        <v>371</v>
      </c>
      <c r="BH226" t="s">
        <v>371</v>
      </c>
      <c r="BI226" t="s">
        <v>371</v>
      </c>
      <c r="BJ226" t="s">
        <v>371</v>
      </c>
      <c r="BK226" t="s">
        <v>371</v>
      </c>
      <c r="BL226" t="s">
        <v>371</v>
      </c>
      <c r="BM226" t="s">
        <v>371</v>
      </c>
      <c r="BN226" t="s">
        <v>371</v>
      </c>
      <c r="BO226" t="s">
        <v>371</v>
      </c>
      <c r="BQ226" t="s">
        <v>375</v>
      </c>
      <c r="BR226" s="73"/>
      <c r="CX226" s="73"/>
      <c r="EQ226" s="73"/>
      <c r="FT226">
        <v>0</v>
      </c>
      <c r="FZ226" t="s">
        <v>371</v>
      </c>
      <c r="GA226" t="s">
        <v>371</v>
      </c>
      <c r="GB226" t="s">
        <v>371</v>
      </c>
      <c r="GC226" t="s">
        <v>371</v>
      </c>
      <c r="GD226" t="s">
        <v>371</v>
      </c>
      <c r="GF226" t="s">
        <v>371</v>
      </c>
      <c r="GG226" t="s">
        <v>371</v>
      </c>
      <c r="GH226" t="s">
        <v>371</v>
      </c>
      <c r="GI226" t="s">
        <v>371</v>
      </c>
      <c r="GJ226" t="s">
        <v>371</v>
      </c>
      <c r="GK226" t="s">
        <v>371</v>
      </c>
      <c r="GN226" t="s">
        <v>371</v>
      </c>
      <c r="GO226" t="s">
        <v>371</v>
      </c>
      <c r="GP226" t="s">
        <v>371</v>
      </c>
      <c r="GQ226" t="s">
        <v>371</v>
      </c>
      <c r="GR226" t="s">
        <v>371</v>
      </c>
      <c r="GS226" t="s">
        <v>371</v>
      </c>
      <c r="GT226" t="s">
        <v>371</v>
      </c>
      <c r="GU226" t="s">
        <v>371</v>
      </c>
      <c r="GV226" t="s">
        <v>371</v>
      </c>
      <c r="GW226" t="s">
        <v>371</v>
      </c>
      <c r="GX226" t="s">
        <v>371</v>
      </c>
      <c r="HA226" t="s">
        <v>375</v>
      </c>
    </row>
    <row r="227" spans="1:209" ht="14.25" customHeight="1" x14ac:dyDescent="0.25">
      <c r="A227" t="s">
        <v>538</v>
      </c>
      <c r="B227" t="s">
        <v>376</v>
      </c>
      <c r="C227">
        <v>1</v>
      </c>
      <c r="D227" t="s">
        <v>366</v>
      </c>
      <c r="E227" s="73"/>
      <c r="AA227" t="s">
        <v>377</v>
      </c>
      <c r="AB227" s="73">
        <v>46193</v>
      </c>
      <c r="AC227" t="s">
        <v>394</v>
      </c>
      <c r="AF227" t="s">
        <v>379</v>
      </c>
      <c r="AI227" t="s">
        <v>380</v>
      </c>
      <c r="AJ227">
        <v>0</v>
      </c>
      <c r="AK227" t="s">
        <v>372</v>
      </c>
      <c r="AP227" t="s">
        <v>374</v>
      </c>
      <c r="AQ227" s="73"/>
      <c r="BR227" s="73"/>
      <c r="CX227" s="73"/>
      <c r="EQ227" s="73"/>
    </row>
    <row r="228" spans="1:209" ht="14.25" customHeight="1" x14ac:dyDescent="0.25">
      <c r="A228" t="s">
        <v>538</v>
      </c>
      <c r="B228" t="s">
        <v>381</v>
      </c>
      <c r="C228">
        <v>1</v>
      </c>
      <c r="D228" t="s">
        <v>366</v>
      </c>
      <c r="E228" s="73"/>
      <c r="AB228" s="73"/>
      <c r="AQ228" s="73">
        <v>46193</v>
      </c>
      <c r="AR228" t="s">
        <v>434</v>
      </c>
      <c r="AU228" t="s">
        <v>383</v>
      </c>
      <c r="AV228" t="s">
        <v>383</v>
      </c>
      <c r="AW228" t="s">
        <v>384</v>
      </c>
      <c r="AX228" t="s">
        <v>385</v>
      </c>
      <c r="AY228" t="s">
        <v>383</v>
      </c>
      <c r="AZ228" t="s">
        <v>384</v>
      </c>
      <c r="BA228" t="s">
        <v>367</v>
      </c>
      <c r="BB228" t="s">
        <v>367</v>
      </c>
      <c r="BC228">
        <v>5</v>
      </c>
      <c r="BD228" t="s">
        <v>374</v>
      </c>
      <c r="BR228" s="73"/>
      <c r="CX228" s="73"/>
      <c r="EQ228" s="73"/>
    </row>
    <row r="229" spans="1:209" ht="14.25" customHeight="1" x14ac:dyDescent="0.25">
      <c r="A229" t="s">
        <v>540</v>
      </c>
      <c r="D229" t="s">
        <v>366</v>
      </c>
      <c r="E229" s="73">
        <v>46193</v>
      </c>
      <c r="F229" t="s">
        <v>372</v>
      </c>
      <c r="G229" t="s">
        <v>541</v>
      </c>
      <c r="H229" t="s">
        <v>368</v>
      </c>
      <c r="I229" t="s">
        <v>368</v>
      </c>
      <c r="J229">
        <v>1973</v>
      </c>
      <c r="K229" t="s">
        <v>391</v>
      </c>
      <c r="L229" t="s">
        <v>371</v>
      </c>
      <c r="M229" t="s">
        <v>370</v>
      </c>
      <c r="N229" t="s">
        <v>371</v>
      </c>
      <c r="O229" t="s">
        <v>371</v>
      </c>
      <c r="P229" t="s">
        <v>371</v>
      </c>
      <c r="Q229" t="s">
        <v>371</v>
      </c>
      <c r="R229" t="s">
        <v>372</v>
      </c>
      <c r="S229" t="s">
        <v>372</v>
      </c>
      <c r="T229" t="s">
        <v>372</v>
      </c>
      <c r="U229" t="s">
        <v>367</v>
      </c>
      <c r="W229" t="s">
        <v>367</v>
      </c>
      <c r="X229" t="s">
        <v>373</v>
      </c>
      <c r="Y229" t="s">
        <v>396</v>
      </c>
      <c r="Z229" t="s">
        <v>374</v>
      </c>
      <c r="AB229" s="73"/>
      <c r="AQ229" s="73"/>
      <c r="BG229" t="s">
        <v>371</v>
      </c>
      <c r="BH229" t="s">
        <v>371</v>
      </c>
      <c r="BI229" t="s">
        <v>371</v>
      </c>
      <c r="BJ229" t="s">
        <v>371</v>
      </c>
      <c r="BK229" t="s">
        <v>371</v>
      </c>
      <c r="BL229" t="s">
        <v>371</v>
      </c>
      <c r="BM229" t="s">
        <v>371</v>
      </c>
      <c r="BN229" t="s">
        <v>371</v>
      </c>
      <c r="BO229" t="s">
        <v>371</v>
      </c>
      <c r="BQ229" t="s">
        <v>375</v>
      </c>
      <c r="BR229" s="73"/>
      <c r="CX229" s="73"/>
      <c r="EQ229" s="73"/>
      <c r="FT229">
        <v>0</v>
      </c>
      <c r="FZ229" t="s">
        <v>371</v>
      </c>
      <c r="GA229" t="s">
        <v>371</v>
      </c>
      <c r="GB229" t="s">
        <v>371</v>
      </c>
      <c r="GC229" t="s">
        <v>371</v>
      </c>
      <c r="GD229" t="s">
        <v>371</v>
      </c>
      <c r="GF229" t="s">
        <v>371</v>
      </c>
      <c r="GG229" t="s">
        <v>371</v>
      </c>
      <c r="GH229" t="s">
        <v>371</v>
      </c>
      <c r="GI229" t="s">
        <v>371</v>
      </c>
      <c r="GJ229" t="s">
        <v>371</v>
      </c>
      <c r="GK229" t="s">
        <v>371</v>
      </c>
      <c r="GN229" t="s">
        <v>371</v>
      </c>
      <c r="GO229" t="s">
        <v>371</v>
      </c>
      <c r="GP229" t="s">
        <v>371</v>
      </c>
      <c r="GQ229" t="s">
        <v>371</v>
      </c>
      <c r="GR229" t="s">
        <v>371</v>
      </c>
      <c r="GS229" t="s">
        <v>371</v>
      </c>
      <c r="GT229" t="s">
        <v>371</v>
      </c>
      <c r="GU229" t="s">
        <v>371</v>
      </c>
      <c r="GV229" t="s">
        <v>371</v>
      </c>
      <c r="GW229" t="s">
        <v>371</v>
      </c>
      <c r="GX229" t="s">
        <v>371</v>
      </c>
      <c r="HA229" t="s">
        <v>375</v>
      </c>
    </row>
    <row r="230" spans="1:209" ht="14.25" customHeight="1" x14ac:dyDescent="0.25">
      <c r="A230" t="s">
        <v>540</v>
      </c>
      <c r="B230" t="s">
        <v>376</v>
      </c>
      <c r="C230">
        <v>1</v>
      </c>
      <c r="D230" t="s">
        <v>366</v>
      </c>
      <c r="E230" s="73"/>
      <c r="AA230" t="s">
        <v>377</v>
      </c>
      <c r="AB230" s="73">
        <v>46193</v>
      </c>
      <c r="AC230" t="s">
        <v>394</v>
      </c>
      <c r="AF230" t="s">
        <v>379</v>
      </c>
      <c r="AI230" t="s">
        <v>380</v>
      </c>
      <c r="AJ230">
        <v>0</v>
      </c>
      <c r="AK230" t="s">
        <v>372</v>
      </c>
      <c r="AP230" t="s">
        <v>374</v>
      </c>
      <c r="AQ230" s="73"/>
      <c r="BR230" s="73"/>
      <c r="CX230" s="73"/>
      <c r="EQ230" s="73"/>
    </row>
    <row r="231" spans="1:209" ht="14.25" customHeight="1" x14ac:dyDescent="0.25">
      <c r="A231" t="s">
        <v>540</v>
      </c>
      <c r="B231" t="s">
        <v>381</v>
      </c>
      <c r="C231">
        <v>1</v>
      </c>
      <c r="D231" t="s">
        <v>366</v>
      </c>
      <c r="E231" s="73"/>
      <c r="AB231" s="73"/>
      <c r="AQ231" s="73">
        <v>46193</v>
      </c>
      <c r="AR231" t="s">
        <v>434</v>
      </c>
      <c r="AU231" t="s">
        <v>383</v>
      </c>
      <c r="AV231" t="s">
        <v>383</v>
      </c>
      <c r="AW231" t="s">
        <v>384</v>
      </c>
      <c r="AX231" t="s">
        <v>385</v>
      </c>
      <c r="AY231" t="s">
        <v>383</v>
      </c>
      <c r="AZ231" t="s">
        <v>384</v>
      </c>
      <c r="BA231" t="s">
        <v>367</v>
      </c>
      <c r="BB231" t="s">
        <v>367</v>
      </c>
      <c r="BC231">
        <v>5</v>
      </c>
      <c r="BD231" t="s">
        <v>374</v>
      </c>
      <c r="BR231" s="73"/>
      <c r="CX231" s="73"/>
      <c r="EQ231" s="73"/>
    </row>
    <row r="232" spans="1:209" ht="14.25" customHeight="1" x14ac:dyDescent="0.25">
      <c r="A232" t="s">
        <v>542</v>
      </c>
      <c r="D232" t="s">
        <v>366</v>
      </c>
      <c r="E232" s="73">
        <v>46193</v>
      </c>
      <c r="F232" t="s">
        <v>367</v>
      </c>
      <c r="H232" t="s">
        <v>368</v>
      </c>
      <c r="I232" t="s">
        <v>368</v>
      </c>
      <c r="J232">
        <v>1981</v>
      </c>
      <c r="K232" t="s">
        <v>391</v>
      </c>
      <c r="L232" t="s">
        <v>371</v>
      </c>
      <c r="M232" t="s">
        <v>370</v>
      </c>
      <c r="N232" t="s">
        <v>371</v>
      </c>
      <c r="O232" t="s">
        <v>371</v>
      </c>
      <c r="P232" t="s">
        <v>371</v>
      </c>
      <c r="Q232" t="s">
        <v>371</v>
      </c>
      <c r="R232" t="s">
        <v>372</v>
      </c>
      <c r="S232" t="s">
        <v>372</v>
      </c>
      <c r="T232" t="s">
        <v>372</v>
      </c>
      <c r="U232" t="s">
        <v>367</v>
      </c>
      <c r="W232" t="s">
        <v>367</v>
      </c>
      <c r="X232" t="s">
        <v>399</v>
      </c>
      <c r="Y232" t="s">
        <v>367</v>
      </c>
      <c r="Z232" t="s">
        <v>374</v>
      </c>
      <c r="AB232" s="73"/>
      <c r="AQ232" s="73"/>
      <c r="BG232" t="s">
        <v>371</v>
      </c>
      <c r="BH232" t="s">
        <v>371</v>
      </c>
      <c r="BI232" t="s">
        <v>371</v>
      </c>
      <c r="BJ232" t="s">
        <v>371</v>
      </c>
      <c r="BK232" t="s">
        <v>371</v>
      </c>
      <c r="BL232" t="s">
        <v>371</v>
      </c>
      <c r="BM232" t="s">
        <v>371</v>
      </c>
      <c r="BN232" t="s">
        <v>371</v>
      </c>
      <c r="BO232" t="s">
        <v>371</v>
      </c>
      <c r="BQ232" t="s">
        <v>375</v>
      </c>
      <c r="BR232" s="73"/>
      <c r="CX232" s="73"/>
      <c r="EQ232" s="73"/>
      <c r="FT232">
        <v>0</v>
      </c>
      <c r="FZ232" t="s">
        <v>371</v>
      </c>
      <c r="GA232" t="s">
        <v>371</v>
      </c>
      <c r="GB232" t="s">
        <v>371</v>
      </c>
      <c r="GC232" t="s">
        <v>371</v>
      </c>
      <c r="GD232" t="s">
        <v>371</v>
      </c>
      <c r="GF232" t="s">
        <v>371</v>
      </c>
      <c r="GG232" t="s">
        <v>371</v>
      </c>
      <c r="GH232" t="s">
        <v>371</v>
      </c>
      <c r="GI232" t="s">
        <v>371</v>
      </c>
      <c r="GJ232" t="s">
        <v>371</v>
      </c>
      <c r="GK232" t="s">
        <v>371</v>
      </c>
      <c r="GN232" t="s">
        <v>371</v>
      </c>
      <c r="GO232" t="s">
        <v>371</v>
      </c>
      <c r="GP232" t="s">
        <v>371</v>
      </c>
      <c r="GQ232" t="s">
        <v>371</v>
      </c>
      <c r="GR232" t="s">
        <v>371</v>
      </c>
      <c r="GS232" t="s">
        <v>371</v>
      </c>
      <c r="GT232" t="s">
        <v>371</v>
      </c>
      <c r="GU232" t="s">
        <v>371</v>
      </c>
      <c r="GV232" t="s">
        <v>371</v>
      </c>
      <c r="GW232" t="s">
        <v>371</v>
      </c>
      <c r="GX232" t="s">
        <v>371</v>
      </c>
      <c r="HA232" t="s">
        <v>375</v>
      </c>
    </row>
    <row r="233" spans="1:209" ht="14.25" customHeight="1" x14ac:dyDescent="0.25">
      <c r="A233" t="s">
        <v>542</v>
      </c>
      <c r="B233" t="s">
        <v>376</v>
      </c>
      <c r="C233">
        <v>1</v>
      </c>
      <c r="D233" t="s">
        <v>366</v>
      </c>
      <c r="E233" s="73"/>
      <c r="AA233" t="s">
        <v>377</v>
      </c>
      <c r="AB233" s="73">
        <v>46193</v>
      </c>
      <c r="AC233" t="s">
        <v>394</v>
      </c>
      <c r="AF233" t="s">
        <v>379</v>
      </c>
      <c r="AI233" t="s">
        <v>380</v>
      </c>
      <c r="AJ233">
        <v>0</v>
      </c>
      <c r="AK233" t="s">
        <v>372</v>
      </c>
      <c r="AP233" t="s">
        <v>374</v>
      </c>
      <c r="AQ233" s="73"/>
      <c r="BR233" s="73"/>
      <c r="CX233" s="73"/>
      <c r="EQ233" s="73"/>
    </row>
    <row r="234" spans="1:209" ht="14.25" customHeight="1" x14ac:dyDescent="0.25">
      <c r="A234" t="s">
        <v>542</v>
      </c>
      <c r="B234" t="s">
        <v>381</v>
      </c>
      <c r="C234">
        <v>1</v>
      </c>
      <c r="D234" t="s">
        <v>366</v>
      </c>
      <c r="E234" s="73"/>
      <c r="AB234" s="73"/>
      <c r="AQ234" s="73">
        <v>46193</v>
      </c>
      <c r="AR234" t="s">
        <v>378</v>
      </c>
      <c r="AU234" t="s">
        <v>383</v>
      </c>
      <c r="AV234" t="s">
        <v>383</v>
      </c>
      <c r="AW234" t="s">
        <v>384</v>
      </c>
      <c r="AX234" t="s">
        <v>385</v>
      </c>
      <c r="AY234" t="s">
        <v>383</v>
      </c>
      <c r="AZ234" t="s">
        <v>383</v>
      </c>
      <c r="BA234" t="s">
        <v>367</v>
      </c>
      <c r="BB234" t="s">
        <v>367</v>
      </c>
      <c r="BC234">
        <v>6</v>
      </c>
      <c r="BD234" t="s">
        <v>374</v>
      </c>
      <c r="BR234" s="73"/>
      <c r="CX234" s="73"/>
      <c r="EQ234" s="73"/>
    </row>
    <row r="235" spans="1:209" ht="14.25" customHeight="1" x14ac:dyDescent="0.25">
      <c r="A235" t="s">
        <v>543</v>
      </c>
      <c r="D235" t="s">
        <v>366</v>
      </c>
      <c r="E235" s="73">
        <v>46193</v>
      </c>
      <c r="F235" t="s">
        <v>367</v>
      </c>
      <c r="H235" t="s">
        <v>403</v>
      </c>
      <c r="I235" t="s">
        <v>403</v>
      </c>
      <c r="J235">
        <v>1980</v>
      </c>
      <c r="K235" t="s">
        <v>369</v>
      </c>
      <c r="L235" t="s">
        <v>371</v>
      </c>
      <c r="M235" t="s">
        <v>371</v>
      </c>
      <c r="N235" t="s">
        <v>371</v>
      </c>
      <c r="O235" t="s">
        <v>371</v>
      </c>
      <c r="P235" t="s">
        <v>371</v>
      </c>
      <c r="Q235" t="s">
        <v>370</v>
      </c>
      <c r="R235" t="s">
        <v>372</v>
      </c>
      <c r="S235" t="s">
        <v>372</v>
      </c>
      <c r="T235" t="s">
        <v>367</v>
      </c>
      <c r="U235" t="s">
        <v>367</v>
      </c>
      <c r="W235" t="s">
        <v>367</v>
      </c>
      <c r="X235" t="s">
        <v>432</v>
      </c>
      <c r="Y235" t="s">
        <v>421</v>
      </c>
      <c r="Z235" t="s">
        <v>374</v>
      </c>
      <c r="AB235" s="73"/>
      <c r="AQ235" s="73"/>
      <c r="BG235" t="s">
        <v>371</v>
      </c>
      <c r="BH235" t="s">
        <v>371</v>
      </c>
      <c r="BI235" t="s">
        <v>371</v>
      </c>
      <c r="BJ235" t="s">
        <v>371</v>
      </c>
      <c r="BK235" t="s">
        <v>371</v>
      </c>
      <c r="BL235" t="s">
        <v>371</v>
      </c>
      <c r="BM235" t="s">
        <v>371</v>
      </c>
      <c r="BN235" t="s">
        <v>371</v>
      </c>
      <c r="BO235" t="s">
        <v>371</v>
      </c>
      <c r="BQ235" t="s">
        <v>375</v>
      </c>
      <c r="BR235" s="73"/>
      <c r="CX235" s="73"/>
      <c r="EQ235" s="73"/>
      <c r="FT235">
        <v>0</v>
      </c>
      <c r="FZ235" t="s">
        <v>371</v>
      </c>
      <c r="GA235" t="s">
        <v>371</v>
      </c>
      <c r="GB235" t="s">
        <v>371</v>
      </c>
      <c r="GC235" t="s">
        <v>371</v>
      </c>
      <c r="GD235" t="s">
        <v>371</v>
      </c>
      <c r="GF235" t="s">
        <v>371</v>
      </c>
      <c r="GG235" t="s">
        <v>371</v>
      </c>
      <c r="GH235" t="s">
        <v>371</v>
      </c>
      <c r="GI235" t="s">
        <v>371</v>
      </c>
      <c r="GJ235" t="s">
        <v>371</v>
      </c>
      <c r="GK235" t="s">
        <v>371</v>
      </c>
      <c r="GN235" t="s">
        <v>371</v>
      </c>
      <c r="GO235" t="s">
        <v>371</v>
      </c>
      <c r="GP235" t="s">
        <v>371</v>
      </c>
      <c r="GQ235" t="s">
        <v>371</v>
      </c>
      <c r="GR235" t="s">
        <v>371</v>
      </c>
      <c r="GS235" t="s">
        <v>371</v>
      </c>
      <c r="GT235" t="s">
        <v>371</v>
      </c>
      <c r="GU235" t="s">
        <v>371</v>
      </c>
      <c r="GV235" t="s">
        <v>371</v>
      </c>
      <c r="GW235" t="s">
        <v>371</v>
      </c>
      <c r="GX235" t="s">
        <v>371</v>
      </c>
      <c r="HA235" t="s">
        <v>375</v>
      </c>
    </row>
    <row r="236" spans="1:209" ht="14.25" customHeight="1" x14ac:dyDescent="0.25">
      <c r="A236" t="s">
        <v>543</v>
      </c>
      <c r="B236" t="s">
        <v>376</v>
      </c>
      <c r="C236">
        <v>1</v>
      </c>
      <c r="D236" t="s">
        <v>366</v>
      </c>
      <c r="E236" s="73"/>
      <c r="AA236" t="s">
        <v>377</v>
      </c>
      <c r="AB236" s="73">
        <v>46193</v>
      </c>
      <c r="AC236" t="s">
        <v>394</v>
      </c>
      <c r="AF236" t="s">
        <v>379</v>
      </c>
      <c r="AI236" t="s">
        <v>380</v>
      </c>
      <c r="AJ236">
        <v>0</v>
      </c>
      <c r="AK236" t="s">
        <v>372</v>
      </c>
      <c r="AP236" t="s">
        <v>374</v>
      </c>
      <c r="AQ236" s="73"/>
      <c r="BR236" s="73"/>
      <c r="CX236" s="73"/>
      <c r="EQ236" s="73"/>
    </row>
    <row r="237" spans="1:209" ht="14.25" customHeight="1" x14ac:dyDescent="0.25">
      <c r="A237" t="s">
        <v>543</v>
      </c>
      <c r="B237" t="s">
        <v>381</v>
      </c>
      <c r="C237">
        <v>1</v>
      </c>
      <c r="D237" t="s">
        <v>366</v>
      </c>
      <c r="E237" s="73"/>
      <c r="AB237" s="73"/>
      <c r="AQ237" s="73">
        <v>46193</v>
      </c>
      <c r="AR237" t="s">
        <v>434</v>
      </c>
      <c r="AU237" t="s">
        <v>383</v>
      </c>
      <c r="AV237" t="s">
        <v>383</v>
      </c>
      <c r="AW237" t="s">
        <v>384</v>
      </c>
      <c r="AX237" t="s">
        <v>385</v>
      </c>
      <c r="AY237" t="s">
        <v>383</v>
      </c>
      <c r="AZ237" t="s">
        <v>384</v>
      </c>
      <c r="BA237" t="s">
        <v>367</v>
      </c>
      <c r="BB237" t="s">
        <v>367</v>
      </c>
      <c r="BC237">
        <v>5</v>
      </c>
      <c r="BD237" t="s">
        <v>374</v>
      </c>
      <c r="BR237" s="73"/>
      <c r="CX237" s="73"/>
      <c r="EQ237" s="73"/>
    </row>
    <row r="238" spans="1:209" ht="14.25" customHeight="1" x14ac:dyDescent="0.25">
      <c r="A238" t="s">
        <v>544</v>
      </c>
      <c r="D238" t="s">
        <v>366</v>
      </c>
      <c r="E238" s="73">
        <v>46193</v>
      </c>
      <c r="F238" t="s">
        <v>367</v>
      </c>
      <c r="H238" t="s">
        <v>403</v>
      </c>
      <c r="I238" t="s">
        <v>403</v>
      </c>
      <c r="J238">
        <v>1975</v>
      </c>
      <c r="K238" t="s">
        <v>391</v>
      </c>
      <c r="L238" t="s">
        <v>370</v>
      </c>
      <c r="M238" t="s">
        <v>371</v>
      </c>
      <c r="N238" t="s">
        <v>371</v>
      </c>
      <c r="O238" t="s">
        <v>371</v>
      </c>
      <c r="P238" t="s">
        <v>371</v>
      </c>
      <c r="Q238" t="s">
        <v>371</v>
      </c>
      <c r="R238" t="s">
        <v>372</v>
      </c>
      <c r="S238" t="s">
        <v>372</v>
      </c>
      <c r="T238" t="s">
        <v>372</v>
      </c>
      <c r="U238" t="s">
        <v>367</v>
      </c>
      <c r="W238" t="s">
        <v>367</v>
      </c>
      <c r="X238" t="s">
        <v>494</v>
      </c>
      <c r="Y238" t="s">
        <v>396</v>
      </c>
      <c r="Z238" t="s">
        <v>374</v>
      </c>
      <c r="AB238" s="73"/>
      <c r="AQ238" s="73"/>
      <c r="BG238" t="s">
        <v>371</v>
      </c>
      <c r="BH238" t="s">
        <v>371</v>
      </c>
      <c r="BI238" t="s">
        <v>371</v>
      </c>
      <c r="BJ238" t="s">
        <v>371</v>
      </c>
      <c r="BK238" t="s">
        <v>371</v>
      </c>
      <c r="BL238" t="s">
        <v>371</v>
      </c>
      <c r="BM238" t="s">
        <v>371</v>
      </c>
      <c r="BN238" t="s">
        <v>371</v>
      </c>
      <c r="BO238" t="s">
        <v>371</v>
      </c>
      <c r="BQ238" t="s">
        <v>375</v>
      </c>
      <c r="BR238" s="73"/>
      <c r="CX238" s="73"/>
      <c r="EQ238" s="73"/>
      <c r="FT238">
        <v>0</v>
      </c>
      <c r="FZ238" t="s">
        <v>371</v>
      </c>
      <c r="GA238" t="s">
        <v>371</v>
      </c>
      <c r="GB238" t="s">
        <v>371</v>
      </c>
      <c r="GC238" t="s">
        <v>371</v>
      </c>
      <c r="GD238" t="s">
        <v>371</v>
      </c>
      <c r="GF238" t="s">
        <v>371</v>
      </c>
      <c r="GG238" t="s">
        <v>371</v>
      </c>
      <c r="GH238" t="s">
        <v>371</v>
      </c>
      <c r="GI238" t="s">
        <v>371</v>
      </c>
      <c r="GJ238" t="s">
        <v>371</v>
      </c>
      <c r="GK238" t="s">
        <v>371</v>
      </c>
      <c r="GN238" t="s">
        <v>371</v>
      </c>
      <c r="GO238" t="s">
        <v>371</v>
      </c>
      <c r="GP238" t="s">
        <v>371</v>
      </c>
      <c r="GQ238" t="s">
        <v>371</v>
      </c>
      <c r="GR238" t="s">
        <v>371</v>
      </c>
      <c r="GS238" t="s">
        <v>371</v>
      </c>
      <c r="GT238" t="s">
        <v>371</v>
      </c>
      <c r="GU238" t="s">
        <v>371</v>
      </c>
      <c r="GV238" t="s">
        <v>371</v>
      </c>
      <c r="GW238" t="s">
        <v>371</v>
      </c>
      <c r="GX238" t="s">
        <v>371</v>
      </c>
      <c r="HA238" t="s">
        <v>375</v>
      </c>
    </row>
    <row r="239" spans="1:209" ht="14.25" customHeight="1" x14ac:dyDescent="0.25">
      <c r="A239" t="s">
        <v>544</v>
      </c>
      <c r="B239" t="s">
        <v>376</v>
      </c>
      <c r="C239">
        <v>1</v>
      </c>
      <c r="D239" t="s">
        <v>366</v>
      </c>
      <c r="E239" s="73"/>
      <c r="AA239" t="s">
        <v>377</v>
      </c>
      <c r="AB239" s="73">
        <v>46193</v>
      </c>
      <c r="AC239" t="s">
        <v>394</v>
      </c>
      <c r="AF239" t="s">
        <v>379</v>
      </c>
      <c r="AI239" t="s">
        <v>400</v>
      </c>
      <c r="AJ239">
        <v>0</v>
      </c>
      <c r="AK239" t="s">
        <v>372</v>
      </c>
      <c r="AP239" t="s">
        <v>374</v>
      </c>
      <c r="AQ239" s="73"/>
      <c r="BR239" s="73"/>
      <c r="CX239" s="73"/>
      <c r="EQ239" s="73"/>
    </row>
    <row r="240" spans="1:209" ht="14.25" customHeight="1" x14ac:dyDescent="0.25">
      <c r="A240" t="s">
        <v>544</v>
      </c>
      <c r="B240" t="s">
        <v>381</v>
      </c>
      <c r="C240">
        <v>1</v>
      </c>
      <c r="D240" t="s">
        <v>366</v>
      </c>
      <c r="E240" s="73"/>
      <c r="AB240" s="73"/>
      <c r="AQ240" s="73">
        <v>46193</v>
      </c>
      <c r="AR240" t="s">
        <v>378</v>
      </c>
      <c r="AU240" t="s">
        <v>383</v>
      </c>
      <c r="AV240" t="s">
        <v>383</v>
      </c>
      <c r="AW240" t="s">
        <v>384</v>
      </c>
      <c r="AX240" t="s">
        <v>383</v>
      </c>
      <c r="AY240" t="s">
        <v>384</v>
      </c>
      <c r="AZ240" t="s">
        <v>384</v>
      </c>
      <c r="BA240" t="s">
        <v>367</v>
      </c>
      <c r="BB240" t="s">
        <v>367</v>
      </c>
      <c r="BC240">
        <v>3</v>
      </c>
      <c r="BD240" t="s">
        <v>374</v>
      </c>
      <c r="BR240" s="73"/>
      <c r="CX240" s="73"/>
      <c r="EQ240" s="73"/>
    </row>
    <row r="241" spans="1:209" ht="14.25" customHeight="1" x14ac:dyDescent="0.25">
      <c r="A241" t="s">
        <v>545</v>
      </c>
      <c r="D241" t="s">
        <v>366</v>
      </c>
      <c r="E241" s="73">
        <v>46193</v>
      </c>
      <c r="F241" t="s">
        <v>367</v>
      </c>
      <c r="H241" t="s">
        <v>403</v>
      </c>
      <c r="I241" t="s">
        <v>403</v>
      </c>
      <c r="J241">
        <v>1985</v>
      </c>
      <c r="K241" t="s">
        <v>448</v>
      </c>
      <c r="L241" t="s">
        <v>371</v>
      </c>
      <c r="M241" t="s">
        <v>370</v>
      </c>
      <c r="N241" t="s">
        <v>371</v>
      </c>
      <c r="O241" t="s">
        <v>371</v>
      </c>
      <c r="P241" t="s">
        <v>371</v>
      </c>
      <c r="Q241" t="s">
        <v>371</v>
      </c>
      <c r="R241" t="s">
        <v>372</v>
      </c>
      <c r="S241" t="s">
        <v>372</v>
      </c>
      <c r="T241" t="s">
        <v>367</v>
      </c>
      <c r="U241" t="s">
        <v>367</v>
      </c>
      <c r="W241" t="s">
        <v>367</v>
      </c>
      <c r="X241" t="s">
        <v>494</v>
      </c>
      <c r="Y241" t="s">
        <v>421</v>
      </c>
      <c r="Z241" t="s">
        <v>374</v>
      </c>
      <c r="AB241" s="73"/>
      <c r="AQ241" s="73"/>
      <c r="BG241" t="s">
        <v>371</v>
      </c>
      <c r="BH241" t="s">
        <v>371</v>
      </c>
      <c r="BI241" t="s">
        <v>371</v>
      </c>
      <c r="BJ241" t="s">
        <v>371</v>
      </c>
      <c r="BK241" t="s">
        <v>371</v>
      </c>
      <c r="BL241" t="s">
        <v>371</v>
      </c>
      <c r="BM241" t="s">
        <v>371</v>
      </c>
      <c r="BN241" t="s">
        <v>371</v>
      </c>
      <c r="BO241" t="s">
        <v>371</v>
      </c>
      <c r="BQ241" t="s">
        <v>375</v>
      </c>
      <c r="BR241" s="73"/>
      <c r="CX241" s="73"/>
      <c r="EQ241" s="73"/>
      <c r="FT241">
        <v>0</v>
      </c>
      <c r="FZ241" t="s">
        <v>371</v>
      </c>
      <c r="GA241" t="s">
        <v>371</v>
      </c>
      <c r="GB241" t="s">
        <v>371</v>
      </c>
      <c r="GC241" t="s">
        <v>371</v>
      </c>
      <c r="GD241" t="s">
        <v>371</v>
      </c>
      <c r="GF241" t="s">
        <v>371</v>
      </c>
      <c r="GG241" t="s">
        <v>371</v>
      </c>
      <c r="GH241" t="s">
        <v>371</v>
      </c>
      <c r="GI241" t="s">
        <v>371</v>
      </c>
      <c r="GJ241" t="s">
        <v>371</v>
      </c>
      <c r="GK241" t="s">
        <v>371</v>
      </c>
      <c r="GN241" t="s">
        <v>371</v>
      </c>
      <c r="GO241" t="s">
        <v>371</v>
      </c>
      <c r="GP241" t="s">
        <v>371</v>
      </c>
      <c r="GQ241" t="s">
        <v>371</v>
      </c>
      <c r="GR241" t="s">
        <v>371</v>
      </c>
      <c r="GS241" t="s">
        <v>371</v>
      </c>
      <c r="GT241" t="s">
        <v>371</v>
      </c>
      <c r="GU241" t="s">
        <v>371</v>
      </c>
      <c r="GV241" t="s">
        <v>371</v>
      </c>
      <c r="GW241" t="s">
        <v>371</v>
      </c>
      <c r="GX241" t="s">
        <v>371</v>
      </c>
      <c r="HA241" t="s">
        <v>375</v>
      </c>
    </row>
    <row r="242" spans="1:209" ht="14.25" customHeight="1" x14ac:dyDescent="0.25">
      <c r="A242" t="s">
        <v>545</v>
      </c>
      <c r="B242" t="s">
        <v>376</v>
      </c>
      <c r="C242">
        <v>1</v>
      </c>
      <c r="D242" t="s">
        <v>366</v>
      </c>
      <c r="E242" s="73"/>
      <c r="AA242" t="s">
        <v>377</v>
      </c>
      <c r="AB242" s="73">
        <v>46193</v>
      </c>
      <c r="AC242" t="s">
        <v>394</v>
      </c>
      <c r="AF242" t="s">
        <v>379</v>
      </c>
      <c r="AI242" t="s">
        <v>380</v>
      </c>
      <c r="AJ242">
        <v>0</v>
      </c>
      <c r="AK242" t="s">
        <v>372</v>
      </c>
      <c r="AP242" t="s">
        <v>374</v>
      </c>
      <c r="AQ242" s="73"/>
      <c r="BR242" s="73"/>
      <c r="CX242" s="73"/>
      <c r="EQ242" s="73"/>
    </row>
    <row r="243" spans="1:209" ht="14.25" customHeight="1" x14ac:dyDescent="0.25">
      <c r="A243" t="s">
        <v>545</v>
      </c>
      <c r="B243" t="s">
        <v>381</v>
      </c>
      <c r="C243">
        <v>1</v>
      </c>
      <c r="D243" t="s">
        <v>366</v>
      </c>
      <c r="E243" s="73"/>
      <c r="AB243" s="73"/>
      <c r="AQ243" s="73">
        <v>46193</v>
      </c>
      <c r="AR243" t="s">
        <v>382</v>
      </c>
      <c r="AU243" t="s">
        <v>384</v>
      </c>
      <c r="AV243" t="s">
        <v>383</v>
      </c>
      <c r="AW243" t="s">
        <v>383</v>
      </c>
      <c r="AX243" t="s">
        <v>404</v>
      </c>
      <c r="AY243" t="s">
        <v>384</v>
      </c>
      <c r="AZ243" t="s">
        <v>384</v>
      </c>
      <c r="BA243" t="s">
        <v>367</v>
      </c>
      <c r="BB243" t="s">
        <v>367</v>
      </c>
      <c r="BC243">
        <v>5</v>
      </c>
      <c r="BD243" t="s">
        <v>374</v>
      </c>
      <c r="BR243" s="73"/>
      <c r="CX243" s="73"/>
      <c r="EQ243" s="73"/>
    </row>
    <row r="244" spans="1:209" ht="14.25" customHeight="1" x14ac:dyDescent="0.25">
      <c r="A244" t="s">
        <v>546</v>
      </c>
      <c r="D244" t="s">
        <v>366</v>
      </c>
      <c r="E244" s="73">
        <v>46193</v>
      </c>
      <c r="F244" t="s">
        <v>367</v>
      </c>
      <c r="H244" t="s">
        <v>368</v>
      </c>
      <c r="I244" t="s">
        <v>368</v>
      </c>
      <c r="J244">
        <v>2007</v>
      </c>
      <c r="K244" t="s">
        <v>369</v>
      </c>
      <c r="L244" t="s">
        <v>370</v>
      </c>
      <c r="M244" t="s">
        <v>371</v>
      </c>
      <c r="N244" t="s">
        <v>371</v>
      </c>
      <c r="O244" t="s">
        <v>371</v>
      </c>
      <c r="P244" t="s">
        <v>371</v>
      </c>
      <c r="Q244" t="s">
        <v>371</v>
      </c>
      <c r="R244" t="s">
        <v>372</v>
      </c>
      <c r="S244" t="s">
        <v>372</v>
      </c>
      <c r="T244" t="s">
        <v>372</v>
      </c>
      <c r="U244" t="s">
        <v>367</v>
      </c>
      <c r="W244" t="s">
        <v>367</v>
      </c>
      <c r="X244" t="s">
        <v>373</v>
      </c>
      <c r="Y244" t="s">
        <v>367</v>
      </c>
      <c r="Z244" t="s">
        <v>374</v>
      </c>
      <c r="AB244" s="73"/>
      <c r="AQ244" s="73"/>
      <c r="BG244" t="s">
        <v>371</v>
      </c>
      <c r="BH244" t="s">
        <v>371</v>
      </c>
      <c r="BI244" t="s">
        <v>371</v>
      </c>
      <c r="BJ244" t="s">
        <v>371</v>
      </c>
      <c r="BK244" t="s">
        <v>371</v>
      </c>
      <c r="BL244" t="s">
        <v>371</v>
      </c>
      <c r="BM244" t="s">
        <v>371</v>
      </c>
      <c r="BN244" t="s">
        <v>371</v>
      </c>
      <c r="BO244" t="s">
        <v>371</v>
      </c>
      <c r="BQ244" t="s">
        <v>375</v>
      </c>
      <c r="BR244" s="73"/>
      <c r="CX244" s="73"/>
      <c r="EQ244" s="73"/>
      <c r="FT244">
        <v>0</v>
      </c>
      <c r="FZ244" t="s">
        <v>371</v>
      </c>
      <c r="GA244" t="s">
        <v>371</v>
      </c>
      <c r="GB244" t="s">
        <v>371</v>
      </c>
      <c r="GC244" t="s">
        <v>371</v>
      </c>
      <c r="GD244" t="s">
        <v>371</v>
      </c>
      <c r="GF244" t="s">
        <v>371</v>
      </c>
      <c r="GG244" t="s">
        <v>371</v>
      </c>
      <c r="GH244" t="s">
        <v>371</v>
      </c>
      <c r="GI244" t="s">
        <v>371</v>
      </c>
      <c r="GJ244" t="s">
        <v>371</v>
      </c>
      <c r="GK244" t="s">
        <v>371</v>
      </c>
      <c r="GN244" t="s">
        <v>371</v>
      </c>
      <c r="GO244" t="s">
        <v>371</v>
      </c>
      <c r="GP244" t="s">
        <v>371</v>
      </c>
      <c r="GQ244" t="s">
        <v>371</v>
      </c>
      <c r="GR244" t="s">
        <v>371</v>
      </c>
      <c r="GS244" t="s">
        <v>371</v>
      </c>
      <c r="GT244" t="s">
        <v>371</v>
      </c>
      <c r="GU244" t="s">
        <v>371</v>
      </c>
      <c r="GV244" t="s">
        <v>371</v>
      </c>
      <c r="GW244" t="s">
        <v>371</v>
      </c>
      <c r="GX244" t="s">
        <v>371</v>
      </c>
      <c r="HA244" t="s">
        <v>375</v>
      </c>
    </row>
    <row r="245" spans="1:209" ht="14.25" customHeight="1" x14ac:dyDescent="0.25">
      <c r="A245" t="s">
        <v>546</v>
      </c>
      <c r="B245" t="s">
        <v>376</v>
      </c>
      <c r="C245">
        <v>1</v>
      </c>
      <c r="D245" t="s">
        <v>366</v>
      </c>
      <c r="E245" s="73"/>
      <c r="AA245" t="s">
        <v>377</v>
      </c>
      <c r="AB245" s="73">
        <v>46193</v>
      </c>
      <c r="AC245" t="s">
        <v>394</v>
      </c>
      <c r="AF245" t="s">
        <v>379</v>
      </c>
      <c r="AI245" t="s">
        <v>380</v>
      </c>
      <c r="AJ245">
        <v>0</v>
      </c>
      <c r="AK245" t="s">
        <v>372</v>
      </c>
      <c r="AP245" t="s">
        <v>374</v>
      </c>
      <c r="AQ245" s="73"/>
      <c r="BR245" s="73"/>
      <c r="CX245" s="73"/>
      <c r="EQ245" s="73"/>
    </row>
    <row r="246" spans="1:209" ht="14.25" customHeight="1" x14ac:dyDescent="0.25">
      <c r="A246" t="s">
        <v>546</v>
      </c>
      <c r="B246" t="s">
        <v>381</v>
      </c>
      <c r="C246">
        <v>1</v>
      </c>
      <c r="D246" t="s">
        <v>366</v>
      </c>
      <c r="E246" s="73"/>
      <c r="AB246" s="73"/>
      <c r="AQ246" s="73">
        <v>46193</v>
      </c>
      <c r="AR246" t="s">
        <v>382</v>
      </c>
      <c r="AU246" t="s">
        <v>384</v>
      </c>
      <c r="AV246" t="s">
        <v>383</v>
      </c>
      <c r="AW246" t="s">
        <v>384</v>
      </c>
      <c r="AX246" t="s">
        <v>383</v>
      </c>
      <c r="AY246" t="s">
        <v>383</v>
      </c>
      <c r="AZ246" t="s">
        <v>384</v>
      </c>
      <c r="BA246" t="s">
        <v>367</v>
      </c>
      <c r="BB246" t="s">
        <v>367</v>
      </c>
      <c r="BC246">
        <v>3</v>
      </c>
      <c r="BD246" t="s">
        <v>374</v>
      </c>
      <c r="BR246" s="73"/>
      <c r="CX246" s="73"/>
      <c r="EQ246" s="73"/>
    </row>
    <row r="247" spans="1:209" ht="14.25" customHeight="1" x14ac:dyDescent="0.25">
      <c r="A247" t="s">
        <v>547</v>
      </c>
      <c r="D247" t="s">
        <v>366</v>
      </c>
      <c r="E247" s="73">
        <v>46193</v>
      </c>
      <c r="F247" t="s">
        <v>367</v>
      </c>
      <c r="H247" t="s">
        <v>403</v>
      </c>
      <c r="I247" t="s">
        <v>403</v>
      </c>
      <c r="J247">
        <v>1981</v>
      </c>
      <c r="K247" t="s">
        <v>448</v>
      </c>
      <c r="L247" t="s">
        <v>371</v>
      </c>
      <c r="M247" t="s">
        <v>370</v>
      </c>
      <c r="N247" t="s">
        <v>371</v>
      </c>
      <c r="O247" t="s">
        <v>371</v>
      </c>
      <c r="P247" t="s">
        <v>371</v>
      </c>
      <c r="Q247" t="s">
        <v>371</v>
      </c>
      <c r="R247" t="s">
        <v>372</v>
      </c>
      <c r="S247" t="s">
        <v>367</v>
      </c>
      <c r="T247" t="s">
        <v>372</v>
      </c>
      <c r="U247" t="s">
        <v>372</v>
      </c>
      <c r="V247" t="s">
        <v>367</v>
      </c>
      <c r="W247" t="s">
        <v>367</v>
      </c>
      <c r="X247" t="s">
        <v>392</v>
      </c>
      <c r="Y247" t="s">
        <v>396</v>
      </c>
      <c r="Z247" t="s">
        <v>374</v>
      </c>
      <c r="AB247" s="73"/>
      <c r="AQ247" s="73"/>
      <c r="BG247" t="s">
        <v>371</v>
      </c>
      <c r="BH247" t="s">
        <v>371</v>
      </c>
      <c r="BI247" t="s">
        <v>371</v>
      </c>
      <c r="BJ247" t="s">
        <v>371</v>
      </c>
      <c r="BK247" t="s">
        <v>371</v>
      </c>
      <c r="BL247" t="s">
        <v>371</v>
      </c>
      <c r="BM247" t="s">
        <v>371</v>
      </c>
      <c r="BN247" t="s">
        <v>371</v>
      </c>
      <c r="BO247" t="s">
        <v>371</v>
      </c>
      <c r="BQ247" t="s">
        <v>375</v>
      </c>
      <c r="BR247" s="73"/>
      <c r="CX247" s="73"/>
      <c r="EQ247" s="73"/>
      <c r="FT247">
        <v>0</v>
      </c>
      <c r="FZ247" t="s">
        <v>371</v>
      </c>
      <c r="GA247" t="s">
        <v>371</v>
      </c>
      <c r="GB247" t="s">
        <v>371</v>
      </c>
      <c r="GC247" t="s">
        <v>371</v>
      </c>
      <c r="GD247" t="s">
        <v>371</v>
      </c>
      <c r="GF247" t="s">
        <v>371</v>
      </c>
      <c r="GG247" t="s">
        <v>371</v>
      </c>
      <c r="GH247" t="s">
        <v>371</v>
      </c>
      <c r="GI247" t="s">
        <v>371</v>
      </c>
      <c r="GJ247" t="s">
        <v>371</v>
      </c>
      <c r="GK247" t="s">
        <v>371</v>
      </c>
      <c r="GN247" t="s">
        <v>371</v>
      </c>
      <c r="GO247" t="s">
        <v>371</v>
      </c>
      <c r="GP247" t="s">
        <v>371</v>
      </c>
      <c r="GQ247" t="s">
        <v>371</v>
      </c>
      <c r="GR247" t="s">
        <v>371</v>
      </c>
      <c r="GS247" t="s">
        <v>371</v>
      </c>
      <c r="GT247" t="s">
        <v>371</v>
      </c>
      <c r="GU247" t="s">
        <v>371</v>
      </c>
      <c r="GV247" t="s">
        <v>371</v>
      </c>
      <c r="GW247" t="s">
        <v>371</v>
      </c>
      <c r="GX247" t="s">
        <v>371</v>
      </c>
      <c r="HA247" t="s">
        <v>375</v>
      </c>
    </row>
    <row r="248" spans="1:209" ht="14.25" customHeight="1" x14ac:dyDescent="0.25">
      <c r="A248" t="s">
        <v>547</v>
      </c>
      <c r="B248" t="s">
        <v>376</v>
      </c>
      <c r="C248">
        <v>1</v>
      </c>
      <c r="D248" t="s">
        <v>366</v>
      </c>
      <c r="E248" s="73"/>
      <c r="AA248" t="s">
        <v>377</v>
      </c>
      <c r="AB248" s="73">
        <v>46193</v>
      </c>
      <c r="AC248" t="s">
        <v>394</v>
      </c>
      <c r="AF248" t="s">
        <v>379</v>
      </c>
      <c r="AI248" t="s">
        <v>380</v>
      </c>
      <c r="AJ248">
        <v>0</v>
      </c>
      <c r="AK248" t="s">
        <v>372</v>
      </c>
      <c r="AP248" t="s">
        <v>374</v>
      </c>
      <c r="AQ248" s="73"/>
      <c r="BR248" s="73"/>
      <c r="CX248" s="73"/>
      <c r="EQ248" s="73"/>
    </row>
    <row r="249" spans="1:209" ht="14.25" customHeight="1" x14ac:dyDescent="0.25">
      <c r="A249" t="s">
        <v>547</v>
      </c>
      <c r="B249" t="s">
        <v>381</v>
      </c>
      <c r="C249">
        <v>1</v>
      </c>
      <c r="D249" t="s">
        <v>366</v>
      </c>
      <c r="E249" s="73"/>
      <c r="AB249" s="73"/>
      <c r="AQ249" s="73">
        <v>46193</v>
      </c>
      <c r="AR249" t="s">
        <v>378</v>
      </c>
      <c r="AU249" t="s">
        <v>383</v>
      </c>
      <c r="AV249" t="s">
        <v>383</v>
      </c>
      <c r="AW249" t="s">
        <v>384</v>
      </c>
      <c r="AX249" t="s">
        <v>385</v>
      </c>
      <c r="AY249" t="s">
        <v>383</v>
      </c>
      <c r="AZ249" t="s">
        <v>383</v>
      </c>
      <c r="BA249" t="s">
        <v>367</v>
      </c>
      <c r="BB249" t="s">
        <v>367</v>
      </c>
      <c r="BC249">
        <v>6</v>
      </c>
      <c r="BD249" t="s">
        <v>374</v>
      </c>
      <c r="BR249" s="73"/>
      <c r="CX249" s="73"/>
      <c r="EQ249" s="73"/>
    </row>
    <row r="250" spans="1:209" ht="14.25" customHeight="1" x14ac:dyDescent="0.25">
      <c r="A250" t="s">
        <v>548</v>
      </c>
      <c r="D250" t="s">
        <v>366</v>
      </c>
      <c r="E250" s="73">
        <v>46193</v>
      </c>
      <c r="F250" t="s">
        <v>367</v>
      </c>
      <c r="H250" t="s">
        <v>403</v>
      </c>
      <c r="I250" t="s">
        <v>403</v>
      </c>
      <c r="J250">
        <v>1976</v>
      </c>
      <c r="K250" t="s">
        <v>448</v>
      </c>
      <c r="L250" t="s">
        <v>371</v>
      </c>
      <c r="M250" t="s">
        <v>370</v>
      </c>
      <c r="N250" t="s">
        <v>371</v>
      </c>
      <c r="O250" t="s">
        <v>371</v>
      </c>
      <c r="P250" t="s">
        <v>371</v>
      </c>
      <c r="Q250" t="s">
        <v>371</v>
      </c>
      <c r="R250" t="s">
        <v>372</v>
      </c>
      <c r="S250" t="s">
        <v>372</v>
      </c>
      <c r="T250" t="s">
        <v>367</v>
      </c>
      <c r="U250" t="s">
        <v>367</v>
      </c>
      <c r="W250" t="s">
        <v>367</v>
      </c>
      <c r="X250" t="s">
        <v>432</v>
      </c>
      <c r="Y250" t="s">
        <v>421</v>
      </c>
      <c r="Z250" t="s">
        <v>374</v>
      </c>
      <c r="AB250" s="73"/>
      <c r="AQ250" s="73"/>
      <c r="BG250" t="s">
        <v>371</v>
      </c>
      <c r="BH250" t="s">
        <v>371</v>
      </c>
      <c r="BI250" t="s">
        <v>371</v>
      </c>
      <c r="BJ250" t="s">
        <v>371</v>
      </c>
      <c r="BK250" t="s">
        <v>371</v>
      </c>
      <c r="BL250" t="s">
        <v>371</v>
      </c>
      <c r="BM250" t="s">
        <v>371</v>
      </c>
      <c r="BN250" t="s">
        <v>371</v>
      </c>
      <c r="BO250" t="s">
        <v>371</v>
      </c>
      <c r="BQ250" t="s">
        <v>375</v>
      </c>
      <c r="BR250" s="73"/>
      <c r="CX250" s="73"/>
      <c r="EQ250" s="73"/>
      <c r="FT250">
        <v>0</v>
      </c>
      <c r="FZ250" t="s">
        <v>371</v>
      </c>
      <c r="GA250" t="s">
        <v>371</v>
      </c>
      <c r="GB250" t="s">
        <v>371</v>
      </c>
      <c r="GC250" t="s">
        <v>371</v>
      </c>
      <c r="GD250" t="s">
        <v>371</v>
      </c>
      <c r="GF250" t="s">
        <v>371</v>
      </c>
      <c r="GG250" t="s">
        <v>371</v>
      </c>
      <c r="GH250" t="s">
        <v>371</v>
      </c>
      <c r="GI250" t="s">
        <v>371</v>
      </c>
      <c r="GJ250" t="s">
        <v>371</v>
      </c>
      <c r="GK250" t="s">
        <v>371</v>
      </c>
      <c r="GN250" t="s">
        <v>371</v>
      </c>
      <c r="GO250" t="s">
        <v>371</v>
      </c>
      <c r="GP250" t="s">
        <v>371</v>
      </c>
      <c r="GQ250" t="s">
        <v>371</v>
      </c>
      <c r="GR250" t="s">
        <v>371</v>
      </c>
      <c r="GS250" t="s">
        <v>371</v>
      </c>
      <c r="GT250" t="s">
        <v>371</v>
      </c>
      <c r="GU250" t="s">
        <v>371</v>
      </c>
      <c r="GV250" t="s">
        <v>371</v>
      </c>
      <c r="GW250" t="s">
        <v>371</v>
      </c>
      <c r="GX250" t="s">
        <v>371</v>
      </c>
      <c r="HA250" t="s">
        <v>375</v>
      </c>
    </row>
    <row r="251" spans="1:209" ht="14.25" customHeight="1" x14ac:dyDescent="0.25">
      <c r="A251" t="s">
        <v>548</v>
      </c>
      <c r="B251" t="s">
        <v>376</v>
      </c>
      <c r="C251">
        <v>1</v>
      </c>
      <c r="D251" t="s">
        <v>366</v>
      </c>
      <c r="E251" s="73"/>
      <c r="AA251" t="s">
        <v>377</v>
      </c>
      <c r="AB251" s="73">
        <v>46193</v>
      </c>
      <c r="AC251" t="s">
        <v>394</v>
      </c>
      <c r="AF251" t="s">
        <v>379</v>
      </c>
      <c r="AI251" t="s">
        <v>380</v>
      </c>
      <c r="AJ251">
        <v>0</v>
      </c>
      <c r="AK251" t="s">
        <v>372</v>
      </c>
      <c r="AP251" t="s">
        <v>374</v>
      </c>
      <c r="AQ251" s="73"/>
      <c r="BR251" s="73"/>
      <c r="CX251" s="73"/>
      <c r="EQ251" s="73"/>
    </row>
    <row r="252" spans="1:209" ht="14.25" customHeight="1" x14ac:dyDescent="0.25">
      <c r="A252" t="s">
        <v>548</v>
      </c>
      <c r="B252" t="s">
        <v>381</v>
      </c>
      <c r="C252">
        <v>1</v>
      </c>
      <c r="D252" t="s">
        <v>366</v>
      </c>
      <c r="E252" s="73"/>
      <c r="AB252" s="73"/>
      <c r="AQ252" s="73">
        <v>46193</v>
      </c>
      <c r="AR252" t="s">
        <v>397</v>
      </c>
      <c r="AU252" t="s">
        <v>383</v>
      </c>
      <c r="AV252" t="s">
        <v>383</v>
      </c>
      <c r="AW252" t="s">
        <v>384</v>
      </c>
      <c r="AX252" t="s">
        <v>385</v>
      </c>
      <c r="AY252" t="s">
        <v>383</v>
      </c>
      <c r="AZ252" t="s">
        <v>383</v>
      </c>
      <c r="BA252" t="s">
        <v>367</v>
      </c>
      <c r="BB252" t="s">
        <v>367</v>
      </c>
      <c r="BC252">
        <v>6</v>
      </c>
      <c r="BD252" t="s">
        <v>374</v>
      </c>
      <c r="BR252" s="73"/>
      <c r="CX252" s="73"/>
      <c r="EQ252" s="73"/>
    </row>
    <row r="253" spans="1:209" ht="14.25" customHeight="1" x14ac:dyDescent="0.25">
      <c r="A253" t="s">
        <v>549</v>
      </c>
      <c r="D253" t="s">
        <v>366</v>
      </c>
      <c r="E253" s="73">
        <v>46193</v>
      </c>
      <c r="F253" t="s">
        <v>367</v>
      </c>
      <c r="H253" t="s">
        <v>403</v>
      </c>
      <c r="I253" t="s">
        <v>403</v>
      </c>
      <c r="J253">
        <v>1978</v>
      </c>
      <c r="K253" t="s">
        <v>448</v>
      </c>
      <c r="L253" t="s">
        <v>371</v>
      </c>
      <c r="M253" t="s">
        <v>370</v>
      </c>
      <c r="N253" t="s">
        <v>371</v>
      </c>
      <c r="O253" t="s">
        <v>371</v>
      </c>
      <c r="P253" t="s">
        <v>371</v>
      </c>
      <c r="Q253" t="s">
        <v>371</v>
      </c>
      <c r="R253" t="s">
        <v>372</v>
      </c>
      <c r="S253" t="s">
        <v>372</v>
      </c>
      <c r="T253" t="s">
        <v>372</v>
      </c>
      <c r="U253" t="s">
        <v>367</v>
      </c>
      <c r="W253" t="s">
        <v>367</v>
      </c>
      <c r="X253" t="s">
        <v>392</v>
      </c>
      <c r="Y253" t="s">
        <v>396</v>
      </c>
      <c r="Z253" t="s">
        <v>374</v>
      </c>
      <c r="AB253" s="73"/>
      <c r="AQ253" s="73"/>
      <c r="BG253" t="s">
        <v>371</v>
      </c>
      <c r="BH253" t="s">
        <v>371</v>
      </c>
      <c r="BI253" t="s">
        <v>371</v>
      </c>
      <c r="BJ253" t="s">
        <v>371</v>
      </c>
      <c r="BK253" t="s">
        <v>371</v>
      </c>
      <c r="BL253" t="s">
        <v>371</v>
      </c>
      <c r="BM253" t="s">
        <v>371</v>
      </c>
      <c r="BN253" t="s">
        <v>371</v>
      </c>
      <c r="BO253" t="s">
        <v>371</v>
      </c>
      <c r="BQ253" t="s">
        <v>375</v>
      </c>
      <c r="BR253" s="73"/>
      <c r="CX253" s="73"/>
      <c r="EQ253" s="73"/>
      <c r="FT253">
        <v>0</v>
      </c>
      <c r="FZ253" t="s">
        <v>371</v>
      </c>
      <c r="GA253" t="s">
        <v>371</v>
      </c>
      <c r="GB253" t="s">
        <v>371</v>
      </c>
      <c r="GC253" t="s">
        <v>371</v>
      </c>
      <c r="GD253" t="s">
        <v>371</v>
      </c>
      <c r="GF253" t="s">
        <v>371</v>
      </c>
      <c r="GG253" t="s">
        <v>371</v>
      </c>
      <c r="GH253" t="s">
        <v>371</v>
      </c>
      <c r="GI253" t="s">
        <v>371</v>
      </c>
      <c r="GJ253" t="s">
        <v>371</v>
      </c>
      <c r="GK253" t="s">
        <v>371</v>
      </c>
      <c r="GN253" t="s">
        <v>371</v>
      </c>
      <c r="GO253" t="s">
        <v>371</v>
      </c>
      <c r="GP253" t="s">
        <v>371</v>
      </c>
      <c r="GQ253" t="s">
        <v>371</v>
      </c>
      <c r="GR253" t="s">
        <v>371</v>
      </c>
      <c r="GS253" t="s">
        <v>371</v>
      </c>
      <c r="GT253" t="s">
        <v>371</v>
      </c>
      <c r="GU253" t="s">
        <v>371</v>
      </c>
      <c r="GV253" t="s">
        <v>371</v>
      </c>
      <c r="GW253" t="s">
        <v>371</v>
      </c>
      <c r="GX253" t="s">
        <v>371</v>
      </c>
      <c r="HA253" t="s">
        <v>375</v>
      </c>
    </row>
    <row r="254" spans="1:209" ht="14.25" customHeight="1" x14ac:dyDescent="0.25">
      <c r="A254" t="s">
        <v>549</v>
      </c>
      <c r="B254" t="s">
        <v>376</v>
      </c>
      <c r="C254">
        <v>1</v>
      </c>
      <c r="D254" t="s">
        <v>366</v>
      </c>
      <c r="E254" s="73"/>
      <c r="AA254" t="s">
        <v>377</v>
      </c>
      <c r="AB254" s="73">
        <v>46193</v>
      </c>
      <c r="AC254" t="s">
        <v>394</v>
      </c>
      <c r="AF254" t="s">
        <v>379</v>
      </c>
      <c r="AI254" t="s">
        <v>380</v>
      </c>
      <c r="AJ254">
        <v>0</v>
      </c>
      <c r="AK254" t="s">
        <v>372</v>
      </c>
      <c r="AP254" t="s">
        <v>374</v>
      </c>
      <c r="AQ254" s="73"/>
      <c r="BR254" s="73"/>
      <c r="CX254" s="73"/>
      <c r="EQ254" s="73"/>
    </row>
    <row r="255" spans="1:209" ht="14.25" customHeight="1" x14ac:dyDescent="0.25">
      <c r="A255" t="s">
        <v>549</v>
      </c>
      <c r="B255" t="s">
        <v>381</v>
      </c>
      <c r="C255">
        <v>1</v>
      </c>
      <c r="D255" t="s">
        <v>366</v>
      </c>
      <c r="E255" s="73"/>
      <c r="AB255" s="73"/>
      <c r="AQ255" s="73">
        <v>46193</v>
      </c>
      <c r="AR255" t="s">
        <v>378</v>
      </c>
      <c r="AU255" t="s">
        <v>385</v>
      </c>
      <c r="AV255" t="s">
        <v>383</v>
      </c>
      <c r="AW255" t="s">
        <v>384</v>
      </c>
      <c r="AX255" t="s">
        <v>383</v>
      </c>
      <c r="AY255" t="s">
        <v>383</v>
      </c>
      <c r="AZ255" t="s">
        <v>383</v>
      </c>
      <c r="BA255" t="s">
        <v>367</v>
      </c>
      <c r="BB255" t="s">
        <v>367</v>
      </c>
      <c r="BC255">
        <v>6</v>
      </c>
      <c r="BD255" t="s">
        <v>374</v>
      </c>
      <c r="BR255" s="73"/>
      <c r="CX255" s="73"/>
      <c r="EQ255" s="73"/>
    </row>
    <row r="256" spans="1:209" ht="14.25" customHeight="1" x14ac:dyDescent="0.25">
      <c r="A256" t="s">
        <v>550</v>
      </c>
      <c r="D256" t="s">
        <v>366</v>
      </c>
      <c r="E256" s="73">
        <v>46193</v>
      </c>
      <c r="F256" t="s">
        <v>372</v>
      </c>
      <c r="G256" t="s">
        <v>551</v>
      </c>
      <c r="H256" t="s">
        <v>368</v>
      </c>
      <c r="I256" t="s">
        <v>368</v>
      </c>
      <c r="J256">
        <v>1974</v>
      </c>
      <c r="K256" t="s">
        <v>391</v>
      </c>
      <c r="L256" t="s">
        <v>371</v>
      </c>
      <c r="M256" t="s">
        <v>370</v>
      </c>
      <c r="N256" t="s">
        <v>371</v>
      </c>
      <c r="O256" t="s">
        <v>371</v>
      </c>
      <c r="P256" t="s">
        <v>371</v>
      </c>
      <c r="Q256" t="s">
        <v>371</v>
      </c>
      <c r="R256" t="s">
        <v>372</v>
      </c>
      <c r="S256" t="s">
        <v>372</v>
      </c>
      <c r="T256" t="s">
        <v>372</v>
      </c>
      <c r="U256" t="s">
        <v>367</v>
      </c>
      <c r="W256" t="s">
        <v>367</v>
      </c>
      <c r="X256" t="s">
        <v>373</v>
      </c>
      <c r="Y256" t="s">
        <v>367</v>
      </c>
      <c r="Z256" t="s">
        <v>374</v>
      </c>
      <c r="AB256" s="73"/>
      <c r="AQ256" s="73"/>
      <c r="BG256" t="s">
        <v>371</v>
      </c>
      <c r="BH256" t="s">
        <v>371</v>
      </c>
      <c r="BI256" t="s">
        <v>371</v>
      </c>
      <c r="BJ256" t="s">
        <v>371</v>
      </c>
      <c r="BK256" t="s">
        <v>371</v>
      </c>
      <c r="BL256" t="s">
        <v>371</v>
      </c>
      <c r="BM256" t="s">
        <v>371</v>
      </c>
      <c r="BN256" t="s">
        <v>371</v>
      </c>
      <c r="BO256" t="s">
        <v>371</v>
      </c>
      <c r="BQ256" t="s">
        <v>375</v>
      </c>
      <c r="BR256" s="73"/>
      <c r="CX256" s="73"/>
      <c r="EQ256" s="73"/>
      <c r="FT256">
        <v>0</v>
      </c>
      <c r="FZ256" t="s">
        <v>371</v>
      </c>
      <c r="GA256" t="s">
        <v>371</v>
      </c>
      <c r="GB256" t="s">
        <v>371</v>
      </c>
      <c r="GC256" t="s">
        <v>371</v>
      </c>
      <c r="GD256" t="s">
        <v>371</v>
      </c>
      <c r="GF256" t="s">
        <v>371</v>
      </c>
      <c r="GG256" t="s">
        <v>371</v>
      </c>
      <c r="GH256" t="s">
        <v>371</v>
      </c>
      <c r="GI256" t="s">
        <v>371</v>
      </c>
      <c r="GJ256" t="s">
        <v>371</v>
      </c>
      <c r="GK256" t="s">
        <v>371</v>
      </c>
      <c r="GN256" t="s">
        <v>371</v>
      </c>
      <c r="GO256" t="s">
        <v>371</v>
      </c>
      <c r="GP256" t="s">
        <v>371</v>
      </c>
      <c r="GQ256" t="s">
        <v>371</v>
      </c>
      <c r="GR256" t="s">
        <v>371</v>
      </c>
      <c r="GS256" t="s">
        <v>371</v>
      </c>
      <c r="GT256" t="s">
        <v>371</v>
      </c>
      <c r="GU256" t="s">
        <v>371</v>
      </c>
      <c r="GV256" t="s">
        <v>371</v>
      </c>
      <c r="GW256" t="s">
        <v>371</v>
      </c>
      <c r="GX256" t="s">
        <v>371</v>
      </c>
      <c r="HA256" t="s">
        <v>375</v>
      </c>
    </row>
    <row r="257" spans="1:209" ht="14.25" customHeight="1" x14ac:dyDescent="0.25">
      <c r="A257" t="s">
        <v>550</v>
      </c>
      <c r="B257" t="s">
        <v>376</v>
      </c>
      <c r="C257">
        <v>1</v>
      </c>
      <c r="D257" t="s">
        <v>366</v>
      </c>
      <c r="E257" s="73"/>
      <c r="AA257" t="s">
        <v>377</v>
      </c>
      <c r="AB257" s="73">
        <v>46193</v>
      </c>
      <c r="AC257" t="s">
        <v>394</v>
      </c>
      <c r="AF257" t="s">
        <v>379</v>
      </c>
      <c r="AI257" t="s">
        <v>380</v>
      </c>
      <c r="AJ257">
        <v>0</v>
      </c>
      <c r="AK257" t="s">
        <v>372</v>
      </c>
      <c r="AP257" t="s">
        <v>374</v>
      </c>
      <c r="AQ257" s="73"/>
      <c r="BR257" s="73"/>
      <c r="CX257" s="73"/>
      <c r="EQ257" s="73"/>
    </row>
    <row r="258" spans="1:209" ht="14.25" customHeight="1" x14ac:dyDescent="0.25">
      <c r="A258" t="s">
        <v>550</v>
      </c>
      <c r="B258" t="s">
        <v>381</v>
      </c>
      <c r="C258">
        <v>1</v>
      </c>
      <c r="D258" t="s">
        <v>366</v>
      </c>
      <c r="E258" s="73"/>
      <c r="AB258" s="73"/>
      <c r="AQ258" s="73">
        <v>46193</v>
      </c>
      <c r="AR258" t="s">
        <v>397</v>
      </c>
      <c r="AU258" t="s">
        <v>384</v>
      </c>
      <c r="AV258" t="s">
        <v>384</v>
      </c>
      <c r="AW258" t="s">
        <v>384</v>
      </c>
      <c r="AX258" t="s">
        <v>383</v>
      </c>
      <c r="AY258" t="s">
        <v>383</v>
      </c>
      <c r="AZ258" t="s">
        <v>384</v>
      </c>
      <c r="BA258" t="s">
        <v>367</v>
      </c>
      <c r="BB258" t="s">
        <v>372</v>
      </c>
      <c r="BC258">
        <v>4</v>
      </c>
      <c r="BD258" t="s">
        <v>374</v>
      </c>
      <c r="BR258" s="73"/>
      <c r="CX258" s="73"/>
      <c r="EQ258" s="73"/>
    </row>
    <row r="259" spans="1:209" ht="14.25" customHeight="1" x14ac:dyDescent="0.25">
      <c r="A259" t="s">
        <v>552</v>
      </c>
      <c r="D259" t="s">
        <v>366</v>
      </c>
      <c r="E259" s="73">
        <v>46193</v>
      </c>
      <c r="F259" t="s">
        <v>367</v>
      </c>
      <c r="H259" t="s">
        <v>403</v>
      </c>
      <c r="I259" t="s">
        <v>403</v>
      </c>
      <c r="J259">
        <v>1966</v>
      </c>
      <c r="K259" t="s">
        <v>448</v>
      </c>
      <c r="L259" t="s">
        <v>370</v>
      </c>
      <c r="M259" t="s">
        <v>371</v>
      </c>
      <c r="N259" t="s">
        <v>371</v>
      </c>
      <c r="O259" t="s">
        <v>371</v>
      </c>
      <c r="P259" t="s">
        <v>371</v>
      </c>
      <c r="Q259" t="s">
        <v>371</v>
      </c>
      <c r="R259" t="s">
        <v>372</v>
      </c>
      <c r="S259" t="s">
        <v>372</v>
      </c>
      <c r="T259" t="s">
        <v>372</v>
      </c>
      <c r="U259" t="s">
        <v>367</v>
      </c>
      <c r="W259" t="s">
        <v>367</v>
      </c>
      <c r="X259" t="s">
        <v>399</v>
      </c>
      <c r="Y259" t="s">
        <v>421</v>
      </c>
      <c r="Z259" t="s">
        <v>374</v>
      </c>
      <c r="AB259" s="73"/>
      <c r="AQ259" s="73"/>
      <c r="BG259" t="s">
        <v>371</v>
      </c>
      <c r="BH259" t="s">
        <v>371</v>
      </c>
      <c r="BI259" t="s">
        <v>371</v>
      </c>
      <c r="BJ259" t="s">
        <v>371</v>
      </c>
      <c r="BK259" t="s">
        <v>371</v>
      </c>
      <c r="BL259" t="s">
        <v>371</v>
      </c>
      <c r="BM259" t="s">
        <v>371</v>
      </c>
      <c r="BN259" t="s">
        <v>371</v>
      </c>
      <c r="BO259" t="s">
        <v>371</v>
      </c>
      <c r="BQ259" t="s">
        <v>375</v>
      </c>
      <c r="BR259" s="73"/>
      <c r="CX259" s="73"/>
      <c r="EQ259" s="73"/>
      <c r="FT259">
        <v>0</v>
      </c>
      <c r="FZ259" t="s">
        <v>371</v>
      </c>
      <c r="GA259" t="s">
        <v>371</v>
      </c>
      <c r="GB259" t="s">
        <v>371</v>
      </c>
      <c r="GC259" t="s">
        <v>371</v>
      </c>
      <c r="GD259" t="s">
        <v>371</v>
      </c>
      <c r="GF259" t="s">
        <v>371</v>
      </c>
      <c r="GG259" t="s">
        <v>371</v>
      </c>
      <c r="GH259" t="s">
        <v>371</v>
      </c>
      <c r="GI259" t="s">
        <v>371</v>
      </c>
      <c r="GJ259" t="s">
        <v>371</v>
      </c>
      <c r="GK259" t="s">
        <v>371</v>
      </c>
      <c r="GN259" t="s">
        <v>371</v>
      </c>
      <c r="GO259" t="s">
        <v>371</v>
      </c>
      <c r="GP259" t="s">
        <v>371</v>
      </c>
      <c r="GQ259" t="s">
        <v>371</v>
      </c>
      <c r="GR259" t="s">
        <v>371</v>
      </c>
      <c r="GS259" t="s">
        <v>371</v>
      </c>
      <c r="GT259" t="s">
        <v>371</v>
      </c>
      <c r="GU259" t="s">
        <v>371</v>
      </c>
      <c r="GV259" t="s">
        <v>371</v>
      </c>
      <c r="GW259" t="s">
        <v>371</v>
      </c>
      <c r="GX259" t="s">
        <v>371</v>
      </c>
      <c r="HA259" t="s">
        <v>375</v>
      </c>
    </row>
    <row r="260" spans="1:209" ht="14.25" customHeight="1" x14ac:dyDescent="0.25">
      <c r="A260" t="s">
        <v>552</v>
      </c>
      <c r="B260" t="s">
        <v>376</v>
      </c>
      <c r="C260">
        <v>1</v>
      </c>
      <c r="D260" t="s">
        <v>366</v>
      </c>
      <c r="E260" s="73"/>
      <c r="AA260" t="s">
        <v>377</v>
      </c>
      <c r="AB260" s="73">
        <v>46193</v>
      </c>
      <c r="AC260" t="s">
        <v>394</v>
      </c>
      <c r="AF260" t="s">
        <v>379</v>
      </c>
      <c r="AI260" t="s">
        <v>400</v>
      </c>
      <c r="AJ260">
        <v>0</v>
      </c>
      <c r="AK260" t="s">
        <v>372</v>
      </c>
      <c r="AP260" t="s">
        <v>374</v>
      </c>
      <c r="AQ260" s="73"/>
      <c r="BR260" s="73"/>
      <c r="CX260" s="73"/>
      <c r="EQ260" s="73"/>
    </row>
    <row r="261" spans="1:209" ht="14.25" customHeight="1" x14ac:dyDescent="0.25">
      <c r="A261" t="s">
        <v>552</v>
      </c>
      <c r="B261" t="s">
        <v>381</v>
      </c>
      <c r="C261">
        <v>1</v>
      </c>
      <c r="D261" t="s">
        <v>366</v>
      </c>
      <c r="E261" s="73"/>
      <c r="AB261" s="73"/>
      <c r="AQ261" s="73">
        <v>46193</v>
      </c>
      <c r="AR261" t="s">
        <v>378</v>
      </c>
      <c r="AU261" t="s">
        <v>383</v>
      </c>
      <c r="AV261" t="s">
        <v>383</v>
      </c>
      <c r="AW261" t="s">
        <v>384</v>
      </c>
      <c r="AX261" t="s">
        <v>383</v>
      </c>
      <c r="AY261" t="s">
        <v>384</v>
      </c>
      <c r="AZ261" t="s">
        <v>384</v>
      </c>
      <c r="BA261" t="s">
        <v>367</v>
      </c>
      <c r="BB261" t="s">
        <v>367</v>
      </c>
      <c r="BC261">
        <v>3</v>
      </c>
      <c r="BD261" t="s">
        <v>374</v>
      </c>
      <c r="BR261" s="73"/>
      <c r="CX261" s="73"/>
      <c r="EQ261" s="73"/>
    </row>
    <row r="262" spans="1:209" ht="14.25" customHeight="1" x14ac:dyDescent="0.25">
      <c r="A262" t="s">
        <v>553</v>
      </c>
      <c r="D262" t="s">
        <v>366</v>
      </c>
      <c r="E262" s="73">
        <v>46193</v>
      </c>
      <c r="F262" t="s">
        <v>367</v>
      </c>
      <c r="H262" t="s">
        <v>403</v>
      </c>
      <c r="I262" t="s">
        <v>403</v>
      </c>
      <c r="J262">
        <v>1958</v>
      </c>
      <c r="K262" t="s">
        <v>369</v>
      </c>
      <c r="L262" t="s">
        <v>370</v>
      </c>
      <c r="M262" t="s">
        <v>371</v>
      </c>
      <c r="N262" t="s">
        <v>371</v>
      </c>
      <c r="O262" t="s">
        <v>371</v>
      </c>
      <c r="P262" t="s">
        <v>371</v>
      </c>
      <c r="Q262" t="s">
        <v>371</v>
      </c>
      <c r="R262" t="s">
        <v>372</v>
      </c>
      <c r="S262" t="s">
        <v>372</v>
      </c>
      <c r="T262" t="s">
        <v>367</v>
      </c>
      <c r="U262" t="s">
        <v>367</v>
      </c>
      <c r="W262" t="s">
        <v>367</v>
      </c>
      <c r="X262" t="s">
        <v>399</v>
      </c>
      <c r="Y262" t="s">
        <v>421</v>
      </c>
      <c r="Z262" t="s">
        <v>374</v>
      </c>
      <c r="AB262" s="73"/>
      <c r="AQ262" s="73"/>
      <c r="BG262" t="s">
        <v>371</v>
      </c>
      <c r="BH262" t="s">
        <v>371</v>
      </c>
      <c r="BI262" t="s">
        <v>371</v>
      </c>
      <c r="BJ262" t="s">
        <v>371</v>
      </c>
      <c r="BK262" t="s">
        <v>371</v>
      </c>
      <c r="BL262" t="s">
        <v>371</v>
      </c>
      <c r="BM262" t="s">
        <v>371</v>
      </c>
      <c r="BN262" t="s">
        <v>371</v>
      </c>
      <c r="BO262" t="s">
        <v>371</v>
      </c>
      <c r="BQ262" t="s">
        <v>375</v>
      </c>
      <c r="BR262" s="73"/>
      <c r="CX262" s="73"/>
      <c r="EQ262" s="73"/>
      <c r="FT262">
        <v>0</v>
      </c>
      <c r="FZ262" t="s">
        <v>371</v>
      </c>
      <c r="GA262" t="s">
        <v>371</v>
      </c>
      <c r="GB262" t="s">
        <v>371</v>
      </c>
      <c r="GC262" t="s">
        <v>371</v>
      </c>
      <c r="GD262" t="s">
        <v>371</v>
      </c>
      <c r="GF262" t="s">
        <v>371</v>
      </c>
      <c r="GG262" t="s">
        <v>371</v>
      </c>
      <c r="GH262" t="s">
        <v>371</v>
      </c>
      <c r="GI262" t="s">
        <v>371</v>
      </c>
      <c r="GJ262" t="s">
        <v>371</v>
      </c>
      <c r="GK262" t="s">
        <v>371</v>
      </c>
      <c r="GN262" t="s">
        <v>371</v>
      </c>
      <c r="GO262" t="s">
        <v>371</v>
      </c>
      <c r="GP262" t="s">
        <v>371</v>
      </c>
      <c r="GQ262" t="s">
        <v>371</v>
      </c>
      <c r="GR262" t="s">
        <v>371</v>
      </c>
      <c r="GS262" t="s">
        <v>371</v>
      </c>
      <c r="GT262" t="s">
        <v>371</v>
      </c>
      <c r="GU262" t="s">
        <v>371</v>
      </c>
      <c r="GV262" t="s">
        <v>371</v>
      </c>
      <c r="GW262" t="s">
        <v>371</v>
      </c>
      <c r="GX262" t="s">
        <v>371</v>
      </c>
      <c r="HA262" t="s">
        <v>375</v>
      </c>
    </row>
    <row r="263" spans="1:209" ht="14.25" customHeight="1" x14ac:dyDescent="0.25">
      <c r="A263" t="s">
        <v>553</v>
      </c>
      <c r="B263" t="s">
        <v>376</v>
      </c>
      <c r="C263">
        <v>1</v>
      </c>
      <c r="D263" t="s">
        <v>366</v>
      </c>
      <c r="E263" s="73"/>
      <c r="AA263" t="s">
        <v>377</v>
      </c>
      <c r="AB263" s="73">
        <v>46193</v>
      </c>
      <c r="AC263" t="s">
        <v>394</v>
      </c>
      <c r="AF263" t="s">
        <v>379</v>
      </c>
      <c r="AI263" t="s">
        <v>400</v>
      </c>
      <c r="AJ263">
        <v>0</v>
      </c>
      <c r="AK263" t="s">
        <v>372</v>
      </c>
      <c r="AP263" t="s">
        <v>374</v>
      </c>
      <c r="AQ263" s="73"/>
      <c r="BR263" s="73"/>
      <c r="CX263" s="73"/>
      <c r="EQ263" s="73"/>
    </row>
    <row r="264" spans="1:209" ht="14.25" customHeight="1" x14ac:dyDescent="0.25">
      <c r="A264" t="s">
        <v>553</v>
      </c>
      <c r="B264" t="s">
        <v>381</v>
      </c>
      <c r="C264">
        <v>1</v>
      </c>
      <c r="D264" t="s">
        <v>366</v>
      </c>
      <c r="E264" s="73"/>
      <c r="AB264" s="73"/>
      <c r="AQ264" s="73">
        <v>46193</v>
      </c>
      <c r="AR264" t="s">
        <v>378</v>
      </c>
      <c r="AU264" t="s">
        <v>384</v>
      </c>
      <c r="AV264" t="s">
        <v>384</v>
      </c>
      <c r="AW264" t="s">
        <v>383</v>
      </c>
      <c r="AX264" t="s">
        <v>384</v>
      </c>
      <c r="AY264" t="s">
        <v>384</v>
      </c>
      <c r="AZ264" t="s">
        <v>383</v>
      </c>
      <c r="BA264" t="s">
        <v>367</v>
      </c>
      <c r="BC264">
        <v>2</v>
      </c>
      <c r="BD264" t="s">
        <v>374</v>
      </c>
      <c r="BR264" s="73"/>
      <c r="CX264" s="73"/>
      <c r="EQ264" s="73"/>
    </row>
    <row r="265" spans="1:209" ht="14.25" customHeight="1" x14ac:dyDescent="0.25">
      <c r="A265" t="s">
        <v>554</v>
      </c>
      <c r="D265" t="s">
        <v>366</v>
      </c>
      <c r="E265" s="73">
        <v>46193</v>
      </c>
      <c r="F265" t="s">
        <v>367</v>
      </c>
      <c r="H265" t="s">
        <v>368</v>
      </c>
      <c r="I265" t="s">
        <v>368</v>
      </c>
      <c r="J265">
        <v>1975</v>
      </c>
      <c r="K265" t="s">
        <v>369</v>
      </c>
      <c r="L265" t="s">
        <v>370</v>
      </c>
      <c r="M265" t="s">
        <v>371</v>
      </c>
      <c r="N265" t="s">
        <v>371</v>
      </c>
      <c r="O265" t="s">
        <v>371</v>
      </c>
      <c r="P265" t="s">
        <v>371</v>
      </c>
      <c r="Q265" t="s">
        <v>371</v>
      </c>
      <c r="R265" t="s">
        <v>489</v>
      </c>
      <c r="S265" t="s">
        <v>372</v>
      </c>
      <c r="T265" t="s">
        <v>367</v>
      </c>
      <c r="U265" t="s">
        <v>367</v>
      </c>
      <c r="W265" t="s">
        <v>367</v>
      </c>
      <c r="X265" t="s">
        <v>432</v>
      </c>
      <c r="Y265" t="s">
        <v>396</v>
      </c>
      <c r="Z265" t="s">
        <v>374</v>
      </c>
      <c r="AB265" s="73"/>
      <c r="AQ265" s="73"/>
      <c r="BG265" t="s">
        <v>371</v>
      </c>
      <c r="BH265" t="s">
        <v>371</v>
      </c>
      <c r="BI265" t="s">
        <v>371</v>
      </c>
      <c r="BJ265" t="s">
        <v>371</v>
      </c>
      <c r="BK265" t="s">
        <v>371</v>
      </c>
      <c r="BL265" t="s">
        <v>371</v>
      </c>
      <c r="BM265" t="s">
        <v>371</v>
      </c>
      <c r="BN265" t="s">
        <v>371</v>
      </c>
      <c r="BO265" t="s">
        <v>371</v>
      </c>
      <c r="BQ265" t="s">
        <v>375</v>
      </c>
      <c r="BR265" s="73"/>
      <c r="CX265" s="73"/>
      <c r="EQ265" s="73"/>
      <c r="FT265">
        <v>0</v>
      </c>
      <c r="FZ265" t="s">
        <v>371</v>
      </c>
      <c r="GA265" t="s">
        <v>371</v>
      </c>
      <c r="GB265" t="s">
        <v>371</v>
      </c>
      <c r="GC265" t="s">
        <v>371</v>
      </c>
      <c r="GD265" t="s">
        <v>371</v>
      </c>
      <c r="GF265" t="s">
        <v>371</v>
      </c>
      <c r="GG265" t="s">
        <v>371</v>
      </c>
      <c r="GH265" t="s">
        <v>371</v>
      </c>
      <c r="GI265" t="s">
        <v>371</v>
      </c>
      <c r="GJ265" t="s">
        <v>371</v>
      </c>
      <c r="GK265" t="s">
        <v>371</v>
      </c>
      <c r="GN265" t="s">
        <v>371</v>
      </c>
      <c r="GO265" t="s">
        <v>371</v>
      </c>
      <c r="GP265" t="s">
        <v>371</v>
      </c>
      <c r="GQ265" t="s">
        <v>371</v>
      </c>
      <c r="GR265" t="s">
        <v>371</v>
      </c>
      <c r="GS265" t="s">
        <v>371</v>
      </c>
      <c r="GT265" t="s">
        <v>371</v>
      </c>
      <c r="GU265" t="s">
        <v>371</v>
      </c>
      <c r="GV265" t="s">
        <v>371</v>
      </c>
      <c r="GW265" t="s">
        <v>371</v>
      </c>
      <c r="GX265" t="s">
        <v>371</v>
      </c>
      <c r="HA265" t="s">
        <v>375</v>
      </c>
    </row>
    <row r="266" spans="1:209" ht="14.25" customHeight="1" x14ac:dyDescent="0.25">
      <c r="A266" t="s">
        <v>554</v>
      </c>
      <c r="B266" t="s">
        <v>376</v>
      </c>
      <c r="C266">
        <v>1</v>
      </c>
      <c r="D266" t="s">
        <v>366</v>
      </c>
      <c r="E266" s="73"/>
      <c r="AA266" t="s">
        <v>377</v>
      </c>
      <c r="AB266" s="73">
        <v>46193</v>
      </c>
      <c r="AC266" t="s">
        <v>394</v>
      </c>
      <c r="AF266" t="s">
        <v>379</v>
      </c>
      <c r="AI266" t="s">
        <v>400</v>
      </c>
      <c r="AJ266">
        <v>0</v>
      </c>
      <c r="AK266" t="s">
        <v>372</v>
      </c>
      <c r="AP266" t="s">
        <v>374</v>
      </c>
      <c r="AQ266" s="73"/>
      <c r="BR266" s="73"/>
      <c r="CX266" s="73"/>
      <c r="EQ266" s="73"/>
    </row>
    <row r="267" spans="1:209" ht="14.25" customHeight="1" x14ac:dyDescent="0.25">
      <c r="A267" t="s">
        <v>554</v>
      </c>
      <c r="B267" t="s">
        <v>381</v>
      </c>
      <c r="C267">
        <v>1</v>
      </c>
      <c r="D267" t="s">
        <v>366</v>
      </c>
      <c r="E267" s="73"/>
      <c r="AB267" s="73"/>
      <c r="AQ267" s="73">
        <v>46193</v>
      </c>
      <c r="AR267" t="s">
        <v>397</v>
      </c>
      <c r="AU267" t="s">
        <v>385</v>
      </c>
      <c r="AV267" t="s">
        <v>383</v>
      </c>
      <c r="AW267" t="s">
        <v>384</v>
      </c>
      <c r="AX267" t="s">
        <v>385</v>
      </c>
      <c r="AY267" t="s">
        <v>385</v>
      </c>
      <c r="AZ267" t="s">
        <v>384</v>
      </c>
      <c r="BA267" t="s">
        <v>367</v>
      </c>
      <c r="BB267" t="s">
        <v>367</v>
      </c>
      <c r="BC267">
        <v>7</v>
      </c>
      <c r="BD267" t="s">
        <v>374</v>
      </c>
      <c r="BR267" s="73"/>
      <c r="CX267" s="73"/>
      <c r="EQ267" s="73"/>
    </row>
    <row r="268" spans="1:209" ht="14.25" customHeight="1" x14ac:dyDescent="0.25">
      <c r="A268" t="s">
        <v>555</v>
      </c>
      <c r="D268" t="s">
        <v>366</v>
      </c>
      <c r="E268" s="73">
        <v>46193</v>
      </c>
      <c r="F268" t="s">
        <v>367</v>
      </c>
      <c r="H268" t="s">
        <v>403</v>
      </c>
      <c r="I268" t="s">
        <v>403</v>
      </c>
      <c r="J268">
        <v>1991</v>
      </c>
      <c r="K268" t="s">
        <v>369</v>
      </c>
      <c r="L268" t="s">
        <v>371</v>
      </c>
      <c r="M268" t="s">
        <v>371</v>
      </c>
      <c r="N268" t="s">
        <v>371</v>
      </c>
      <c r="O268" t="s">
        <v>371</v>
      </c>
      <c r="P268" t="s">
        <v>371</v>
      </c>
      <c r="Q268" t="s">
        <v>370</v>
      </c>
      <c r="R268" t="s">
        <v>367</v>
      </c>
      <c r="S268" t="s">
        <v>372</v>
      </c>
      <c r="T268" t="s">
        <v>367</v>
      </c>
      <c r="U268" t="s">
        <v>367</v>
      </c>
      <c r="W268" t="s">
        <v>372</v>
      </c>
      <c r="X268" t="s">
        <v>399</v>
      </c>
      <c r="Y268" t="s">
        <v>421</v>
      </c>
      <c r="Z268" t="s">
        <v>374</v>
      </c>
      <c r="AB268" s="73"/>
      <c r="AQ268" s="73"/>
      <c r="BG268" t="s">
        <v>371</v>
      </c>
      <c r="BH268" t="s">
        <v>371</v>
      </c>
      <c r="BI268" t="s">
        <v>371</v>
      </c>
      <c r="BJ268" t="s">
        <v>371</v>
      </c>
      <c r="BK268" t="s">
        <v>371</v>
      </c>
      <c r="BL268" t="s">
        <v>371</v>
      </c>
      <c r="BM268" t="s">
        <v>371</v>
      </c>
      <c r="BN268" t="s">
        <v>371</v>
      </c>
      <c r="BO268" t="s">
        <v>371</v>
      </c>
      <c r="BQ268" t="s">
        <v>375</v>
      </c>
      <c r="BR268" s="73"/>
      <c r="CX268" s="73"/>
      <c r="EQ268" s="73"/>
      <c r="FT268">
        <v>0</v>
      </c>
      <c r="FZ268" t="s">
        <v>371</v>
      </c>
      <c r="GA268" t="s">
        <v>371</v>
      </c>
      <c r="GB268" t="s">
        <v>371</v>
      </c>
      <c r="GC268" t="s">
        <v>371</v>
      </c>
      <c r="GD268" t="s">
        <v>371</v>
      </c>
      <c r="GF268" t="s">
        <v>371</v>
      </c>
      <c r="GG268" t="s">
        <v>371</v>
      </c>
      <c r="GH268" t="s">
        <v>371</v>
      </c>
      <c r="GI268" t="s">
        <v>371</v>
      </c>
      <c r="GJ268" t="s">
        <v>371</v>
      </c>
      <c r="GK268" t="s">
        <v>371</v>
      </c>
      <c r="GN268" t="s">
        <v>371</v>
      </c>
      <c r="GO268" t="s">
        <v>371</v>
      </c>
      <c r="GP268" t="s">
        <v>371</v>
      </c>
      <c r="GQ268" t="s">
        <v>371</v>
      </c>
      <c r="GR268" t="s">
        <v>371</v>
      </c>
      <c r="GS268" t="s">
        <v>371</v>
      </c>
      <c r="GT268" t="s">
        <v>371</v>
      </c>
      <c r="GU268" t="s">
        <v>371</v>
      </c>
      <c r="GV268" t="s">
        <v>371</v>
      </c>
      <c r="GW268" t="s">
        <v>371</v>
      </c>
      <c r="GX268" t="s">
        <v>371</v>
      </c>
      <c r="HA268" t="s">
        <v>375</v>
      </c>
    </row>
    <row r="269" spans="1:209" ht="14.25" customHeight="1" x14ac:dyDescent="0.25">
      <c r="A269" t="s">
        <v>555</v>
      </c>
      <c r="B269" t="s">
        <v>376</v>
      </c>
      <c r="C269">
        <v>1</v>
      </c>
      <c r="D269" t="s">
        <v>366</v>
      </c>
      <c r="E269" s="73"/>
      <c r="AA269" t="s">
        <v>377</v>
      </c>
      <c r="AB269" s="73">
        <v>46193</v>
      </c>
      <c r="AC269" t="s">
        <v>394</v>
      </c>
      <c r="AF269" t="s">
        <v>379</v>
      </c>
      <c r="AI269" t="s">
        <v>400</v>
      </c>
      <c r="AJ269">
        <v>0</v>
      </c>
      <c r="AK269" t="s">
        <v>372</v>
      </c>
      <c r="AP269" t="s">
        <v>374</v>
      </c>
      <c r="AQ269" s="73"/>
      <c r="BR269" s="73"/>
      <c r="CX269" s="73"/>
      <c r="EQ269" s="73"/>
    </row>
    <row r="270" spans="1:209" ht="14.25" customHeight="1" x14ac:dyDescent="0.25">
      <c r="A270" t="s">
        <v>555</v>
      </c>
      <c r="B270" t="s">
        <v>381</v>
      </c>
      <c r="C270">
        <v>1</v>
      </c>
      <c r="D270" t="s">
        <v>366</v>
      </c>
      <c r="E270" s="73"/>
      <c r="AB270" s="73"/>
      <c r="AQ270" s="73">
        <v>46193</v>
      </c>
      <c r="AR270" t="s">
        <v>382</v>
      </c>
      <c r="AU270" t="s">
        <v>383</v>
      </c>
      <c r="AV270" t="s">
        <v>385</v>
      </c>
      <c r="AW270" t="s">
        <v>384</v>
      </c>
      <c r="AX270" t="s">
        <v>385</v>
      </c>
      <c r="AY270" t="s">
        <v>384</v>
      </c>
      <c r="AZ270" t="s">
        <v>384</v>
      </c>
      <c r="BA270" t="s">
        <v>367</v>
      </c>
      <c r="BB270" t="s">
        <v>367</v>
      </c>
      <c r="BC270">
        <v>5</v>
      </c>
      <c r="BD270" t="s">
        <v>374</v>
      </c>
      <c r="BR270" s="73"/>
      <c r="CX270" s="73"/>
      <c r="EQ270" s="73"/>
    </row>
    <row r="271" spans="1:209" ht="14.25" customHeight="1" x14ac:dyDescent="0.25">
      <c r="A271" t="s">
        <v>556</v>
      </c>
      <c r="D271" t="s">
        <v>366</v>
      </c>
      <c r="E271" s="73">
        <v>46193</v>
      </c>
      <c r="F271" t="s">
        <v>367</v>
      </c>
      <c r="H271" t="s">
        <v>403</v>
      </c>
      <c r="I271" t="s">
        <v>403</v>
      </c>
      <c r="J271">
        <v>1983</v>
      </c>
      <c r="K271" t="s">
        <v>369</v>
      </c>
      <c r="L271" t="s">
        <v>371</v>
      </c>
      <c r="M271" t="s">
        <v>371</v>
      </c>
      <c r="N271" t="s">
        <v>371</v>
      </c>
      <c r="O271" t="s">
        <v>371</v>
      </c>
      <c r="P271" t="s">
        <v>371</v>
      </c>
      <c r="Q271" t="s">
        <v>370</v>
      </c>
      <c r="R271" t="s">
        <v>372</v>
      </c>
      <c r="S271" t="s">
        <v>372</v>
      </c>
      <c r="T271" t="s">
        <v>372</v>
      </c>
      <c r="U271" t="s">
        <v>367</v>
      </c>
      <c r="W271" t="s">
        <v>367</v>
      </c>
      <c r="X271" t="s">
        <v>494</v>
      </c>
      <c r="Y271" t="s">
        <v>421</v>
      </c>
      <c r="Z271" t="s">
        <v>374</v>
      </c>
      <c r="AB271" s="73"/>
      <c r="AQ271" s="73"/>
      <c r="BG271" t="s">
        <v>371</v>
      </c>
      <c r="BH271" t="s">
        <v>371</v>
      </c>
      <c r="BI271" t="s">
        <v>371</v>
      </c>
      <c r="BJ271" t="s">
        <v>371</v>
      </c>
      <c r="BK271" t="s">
        <v>371</v>
      </c>
      <c r="BL271" t="s">
        <v>371</v>
      </c>
      <c r="BM271" t="s">
        <v>371</v>
      </c>
      <c r="BN271" t="s">
        <v>371</v>
      </c>
      <c r="BO271" t="s">
        <v>371</v>
      </c>
      <c r="BQ271" t="s">
        <v>375</v>
      </c>
      <c r="BR271" s="73"/>
      <c r="CX271" s="73"/>
      <c r="EQ271" s="73"/>
      <c r="FT271">
        <v>0</v>
      </c>
      <c r="FZ271" t="s">
        <v>371</v>
      </c>
      <c r="GA271" t="s">
        <v>371</v>
      </c>
      <c r="GB271" t="s">
        <v>371</v>
      </c>
      <c r="GC271" t="s">
        <v>371</v>
      </c>
      <c r="GD271" t="s">
        <v>371</v>
      </c>
      <c r="GF271" t="s">
        <v>371</v>
      </c>
      <c r="GG271" t="s">
        <v>371</v>
      </c>
      <c r="GH271" t="s">
        <v>371</v>
      </c>
      <c r="GI271" t="s">
        <v>371</v>
      </c>
      <c r="GJ271" t="s">
        <v>371</v>
      </c>
      <c r="GK271" t="s">
        <v>371</v>
      </c>
      <c r="GN271" t="s">
        <v>371</v>
      </c>
      <c r="GO271" t="s">
        <v>371</v>
      </c>
      <c r="GP271" t="s">
        <v>371</v>
      </c>
      <c r="GQ271" t="s">
        <v>371</v>
      </c>
      <c r="GR271" t="s">
        <v>371</v>
      </c>
      <c r="GS271" t="s">
        <v>371</v>
      </c>
      <c r="GT271" t="s">
        <v>371</v>
      </c>
      <c r="GU271" t="s">
        <v>371</v>
      </c>
      <c r="GV271" t="s">
        <v>371</v>
      </c>
      <c r="GW271" t="s">
        <v>371</v>
      </c>
      <c r="GX271" t="s">
        <v>371</v>
      </c>
      <c r="HA271" t="s">
        <v>375</v>
      </c>
    </row>
    <row r="272" spans="1:209" ht="14.25" customHeight="1" x14ac:dyDescent="0.25">
      <c r="A272" t="s">
        <v>556</v>
      </c>
      <c r="B272" t="s">
        <v>376</v>
      </c>
      <c r="C272">
        <v>1</v>
      </c>
      <c r="D272" t="s">
        <v>366</v>
      </c>
      <c r="E272" s="73"/>
      <c r="AA272" t="s">
        <v>377</v>
      </c>
      <c r="AB272" s="73">
        <v>46193</v>
      </c>
      <c r="AC272" t="s">
        <v>394</v>
      </c>
      <c r="AF272" t="s">
        <v>379</v>
      </c>
      <c r="AI272" t="s">
        <v>400</v>
      </c>
      <c r="AJ272">
        <v>0</v>
      </c>
      <c r="AK272" t="s">
        <v>372</v>
      </c>
      <c r="AP272" t="s">
        <v>374</v>
      </c>
      <c r="AQ272" s="73"/>
      <c r="BR272" s="73"/>
      <c r="CX272" s="73"/>
      <c r="EQ272" s="73"/>
    </row>
    <row r="273" spans="1:209" ht="14.25" customHeight="1" x14ac:dyDescent="0.25">
      <c r="A273" t="s">
        <v>556</v>
      </c>
      <c r="B273" t="s">
        <v>381</v>
      </c>
      <c r="C273">
        <v>1</v>
      </c>
      <c r="D273" t="s">
        <v>366</v>
      </c>
      <c r="E273" s="73"/>
      <c r="AB273" s="73"/>
      <c r="AQ273" s="73">
        <v>46193</v>
      </c>
      <c r="AR273" t="s">
        <v>397</v>
      </c>
      <c r="AU273" t="s">
        <v>383</v>
      </c>
      <c r="AV273" t="s">
        <v>383</v>
      </c>
      <c r="AW273" t="s">
        <v>384</v>
      </c>
      <c r="AX273" t="s">
        <v>385</v>
      </c>
      <c r="AY273" t="s">
        <v>383</v>
      </c>
      <c r="AZ273" t="s">
        <v>384</v>
      </c>
      <c r="BA273" t="s">
        <v>367</v>
      </c>
      <c r="BB273" t="s">
        <v>372</v>
      </c>
      <c r="BC273">
        <v>7</v>
      </c>
      <c r="BD273" t="s">
        <v>374</v>
      </c>
      <c r="BR273" s="73"/>
      <c r="CX273" s="73"/>
      <c r="EQ273" s="73"/>
    </row>
    <row r="274" spans="1:209" ht="14.25" customHeight="1" x14ac:dyDescent="0.25">
      <c r="A274" t="s">
        <v>557</v>
      </c>
      <c r="D274" t="s">
        <v>366</v>
      </c>
      <c r="E274" s="73">
        <v>46193</v>
      </c>
      <c r="F274" t="s">
        <v>367</v>
      </c>
      <c r="H274" t="s">
        <v>368</v>
      </c>
      <c r="I274" t="s">
        <v>368</v>
      </c>
      <c r="J274">
        <v>2005</v>
      </c>
      <c r="K274" t="s">
        <v>369</v>
      </c>
      <c r="L274" t="s">
        <v>370</v>
      </c>
      <c r="M274" t="s">
        <v>371</v>
      </c>
      <c r="N274" t="s">
        <v>371</v>
      </c>
      <c r="O274" t="s">
        <v>371</v>
      </c>
      <c r="P274" t="s">
        <v>371</v>
      </c>
      <c r="Q274" t="s">
        <v>371</v>
      </c>
      <c r="R274" t="s">
        <v>372</v>
      </c>
      <c r="S274" t="s">
        <v>372</v>
      </c>
      <c r="T274" t="s">
        <v>367</v>
      </c>
      <c r="U274" t="s">
        <v>367</v>
      </c>
      <c r="W274" t="s">
        <v>367</v>
      </c>
      <c r="X274" t="s">
        <v>373</v>
      </c>
      <c r="Y274" t="s">
        <v>367</v>
      </c>
      <c r="Z274" t="s">
        <v>374</v>
      </c>
      <c r="AB274" s="73"/>
      <c r="AQ274" s="73"/>
      <c r="BG274" t="s">
        <v>371</v>
      </c>
      <c r="BH274" t="s">
        <v>371</v>
      </c>
      <c r="BI274" t="s">
        <v>371</v>
      </c>
      <c r="BJ274" t="s">
        <v>371</v>
      </c>
      <c r="BK274" t="s">
        <v>371</v>
      </c>
      <c r="BL274" t="s">
        <v>371</v>
      </c>
      <c r="BM274" t="s">
        <v>371</v>
      </c>
      <c r="BN274" t="s">
        <v>371</v>
      </c>
      <c r="BO274" t="s">
        <v>371</v>
      </c>
      <c r="BQ274" t="s">
        <v>375</v>
      </c>
      <c r="BR274" s="73"/>
      <c r="CX274" s="73"/>
      <c r="EQ274" s="73"/>
      <c r="FT274">
        <v>0</v>
      </c>
      <c r="FZ274" t="s">
        <v>371</v>
      </c>
      <c r="GA274" t="s">
        <v>371</v>
      </c>
      <c r="GB274" t="s">
        <v>371</v>
      </c>
      <c r="GC274" t="s">
        <v>371</v>
      </c>
      <c r="GD274" t="s">
        <v>371</v>
      </c>
      <c r="GF274" t="s">
        <v>371</v>
      </c>
      <c r="GG274" t="s">
        <v>371</v>
      </c>
      <c r="GH274" t="s">
        <v>371</v>
      </c>
      <c r="GI274" t="s">
        <v>371</v>
      </c>
      <c r="GJ274" t="s">
        <v>371</v>
      </c>
      <c r="GK274" t="s">
        <v>371</v>
      </c>
      <c r="GN274" t="s">
        <v>371</v>
      </c>
      <c r="GO274" t="s">
        <v>371</v>
      </c>
      <c r="GP274" t="s">
        <v>371</v>
      </c>
      <c r="GQ274" t="s">
        <v>371</v>
      </c>
      <c r="GR274" t="s">
        <v>371</v>
      </c>
      <c r="GS274" t="s">
        <v>371</v>
      </c>
      <c r="GT274" t="s">
        <v>371</v>
      </c>
      <c r="GU274" t="s">
        <v>371</v>
      </c>
      <c r="GV274" t="s">
        <v>371</v>
      </c>
      <c r="GW274" t="s">
        <v>371</v>
      </c>
      <c r="GX274" t="s">
        <v>371</v>
      </c>
      <c r="HA274" t="s">
        <v>375</v>
      </c>
    </row>
    <row r="275" spans="1:209" ht="14.25" customHeight="1" x14ac:dyDescent="0.25">
      <c r="A275" t="s">
        <v>557</v>
      </c>
      <c r="B275" t="s">
        <v>376</v>
      </c>
      <c r="C275">
        <v>1</v>
      </c>
      <c r="D275" t="s">
        <v>366</v>
      </c>
      <c r="E275" s="73"/>
      <c r="AA275" t="s">
        <v>377</v>
      </c>
      <c r="AB275" s="73">
        <v>46193</v>
      </c>
      <c r="AC275" t="s">
        <v>394</v>
      </c>
      <c r="AF275" t="s">
        <v>379</v>
      </c>
      <c r="AI275" t="s">
        <v>400</v>
      </c>
      <c r="AJ275">
        <v>0</v>
      </c>
      <c r="AK275" t="s">
        <v>372</v>
      </c>
      <c r="AP275" t="s">
        <v>374</v>
      </c>
      <c r="AQ275" s="73"/>
      <c r="BR275" s="73"/>
      <c r="CX275" s="73"/>
      <c r="EQ275" s="73"/>
    </row>
    <row r="276" spans="1:209" ht="14.25" customHeight="1" x14ac:dyDescent="0.25">
      <c r="A276" t="s">
        <v>557</v>
      </c>
      <c r="B276" t="s">
        <v>381</v>
      </c>
      <c r="C276">
        <v>1</v>
      </c>
      <c r="D276" t="s">
        <v>366</v>
      </c>
      <c r="E276" s="73"/>
      <c r="AB276" s="73"/>
      <c r="AQ276" s="73">
        <v>46193</v>
      </c>
      <c r="AR276" t="s">
        <v>434</v>
      </c>
      <c r="AU276" t="s">
        <v>384</v>
      </c>
      <c r="AV276" t="s">
        <v>383</v>
      </c>
      <c r="AW276" t="s">
        <v>383</v>
      </c>
      <c r="AX276" t="s">
        <v>383</v>
      </c>
      <c r="AY276" t="s">
        <v>383</v>
      </c>
      <c r="AZ276" t="s">
        <v>384</v>
      </c>
      <c r="BA276" t="s">
        <v>367</v>
      </c>
      <c r="BB276" t="s">
        <v>367</v>
      </c>
      <c r="BC276">
        <v>4</v>
      </c>
      <c r="BD276" t="s">
        <v>374</v>
      </c>
      <c r="BR276" s="73"/>
      <c r="CX276" s="73"/>
      <c r="EQ276" s="73"/>
    </row>
    <row r="277" spans="1:209" ht="14.25" customHeight="1" x14ac:dyDescent="0.25">
      <c r="A277" t="s">
        <v>558</v>
      </c>
      <c r="D277" t="s">
        <v>366</v>
      </c>
      <c r="E277" s="73">
        <v>46193</v>
      </c>
      <c r="F277" t="s">
        <v>367</v>
      </c>
      <c r="H277" t="s">
        <v>368</v>
      </c>
      <c r="I277" t="s">
        <v>368</v>
      </c>
      <c r="J277">
        <v>2007</v>
      </c>
      <c r="K277" t="s">
        <v>369</v>
      </c>
      <c r="L277" t="s">
        <v>370</v>
      </c>
      <c r="M277" t="s">
        <v>371</v>
      </c>
      <c r="N277" t="s">
        <v>371</v>
      </c>
      <c r="O277" t="s">
        <v>371</v>
      </c>
      <c r="P277" t="s">
        <v>371</v>
      </c>
      <c r="Q277" t="s">
        <v>371</v>
      </c>
      <c r="R277" t="s">
        <v>372</v>
      </c>
      <c r="S277" t="s">
        <v>372</v>
      </c>
      <c r="T277" t="s">
        <v>372</v>
      </c>
      <c r="U277" t="s">
        <v>367</v>
      </c>
      <c r="W277" t="s">
        <v>372</v>
      </c>
      <c r="X277" t="s">
        <v>373</v>
      </c>
      <c r="Y277" t="s">
        <v>367</v>
      </c>
      <c r="Z277" t="s">
        <v>374</v>
      </c>
      <c r="AB277" s="73"/>
      <c r="AQ277" s="73"/>
      <c r="BG277" t="s">
        <v>371</v>
      </c>
      <c r="BH277" t="s">
        <v>371</v>
      </c>
      <c r="BI277" t="s">
        <v>371</v>
      </c>
      <c r="BJ277" t="s">
        <v>371</v>
      </c>
      <c r="BK277" t="s">
        <v>371</v>
      </c>
      <c r="BL277" t="s">
        <v>371</v>
      </c>
      <c r="BM277" t="s">
        <v>371</v>
      </c>
      <c r="BN277" t="s">
        <v>371</v>
      </c>
      <c r="BO277" t="s">
        <v>371</v>
      </c>
      <c r="BQ277" t="s">
        <v>375</v>
      </c>
      <c r="BR277" s="73"/>
      <c r="CX277" s="73"/>
      <c r="EQ277" s="73"/>
      <c r="FT277">
        <v>0</v>
      </c>
      <c r="FZ277" t="s">
        <v>371</v>
      </c>
      <c r="GA277" t="s">
        <v>371</v>
      </c>
      <c r="GB277" t="s">
        <v>371</v>
      </c>
      <c r="GC277" t="s">
        <v>371</v>
      </c>
      <c r="GD277" t="s">
        <v>371</v>
      </c>
      <c r="GF277" t="s">
        <v>371</v>
      </c>
      <c r="GG277" t="s">
        <v>371</v>
      </c>
      <c r="GH277" t="s">
        <v>371</v>
      </c>
      <c r="GI277" t="s">
        <v>371</v>
      </c>
      <c r="GJ277" t="s">
        <v>371</v>
      </c>
      <c r="GK277" t="s">
        <v>371</v>
      </c>
      <c r="GN277" t="s">
        <v>371</v>
      </c>
      <c r="GO277" t="s">
        <v>371</v>
      </c>
      <c r="GP277" t="s">
        <v>371</v>
      </c>
      <c r="GQ277" t="s">
        <v>371</v>
      </c>
      <c r="GR277" t="s">
        <v>371</v>
      </c>
      <c r="GS277" t="s">
        <v>371</v>
      </c>
      <c r="GT277" t="s">
        <v>371</v>
      </c>
      <c r="GU277" t="s">
        <v>371</v>
      </c>
      <c r="GV277" t="s">
        <v>371</v>
      </c>
      <c r="GW277" t="s">
        <v>371</v>
      </c>
      <c r="GX277" t="s">
        <v>371</v>
      </c>
      <c r="HA277" t="s">
        <v>375</v>
      </c>
    </row>
    <row r="278" spans="1:209" ht="14.25" customHeight="1" x14ac:dyDescent="0.25">
      <c r="A278" t="s">
        <v>558</v>
      </c>
      <c r="B278" t="s">
        <v>376</v>
      </c>
      <c r="C278">
        <v>1</v>
      </c>
      <c r="D278" t="s">
        <v>366</v>
      </c>
      <c r="E278" s="73"/>
      <c r="AA278" t="s">
        <v>377</v>
      </c>
      <c r="AB278" s="73">
        <v>46193</v>
      </c>
      <c r="AC278" t="s">
        <v>394</v>
      </c>
      <c r="AF278" t="s">
        <v>379</v>
      </c>
      <c r="AI278" t="s">
        <v>400</v>
      </c>
      <c r="AJ278">
        <v>0</v>
      </c>
      <c r="AK278" t="s">
        <v>372</v>
      </c>
      <c r="AP278" t="s">
        <v>374</v>
      </c>
      <c r="AQ278" s="73"/>
      <c r="BR278" s="73"/>
      <c r="CX278" s="73"/>
      <c r="EQ278" s="73"/>
    </row>
    <row r="279" spans="1:209" ht="14.25" customHeight="1" x14ac:dyDescent="0.25">
      <c r="A279" t="s">
        <v>558</v>
      </c>
      <c r="B279" t="s">
        <v>381</v>
      </c>
      <c r="C279">
        <v>1</v>
      </c>
      <c r="D279" t="s">
        <v>366</v>
      </c>
      <c r="E279" s="73"/>
      <c r="AB279" s="73"/>
      <c r="AQ279" s="73">
        <v>46193</v>
      </c>
      <c r="AR279" t="s">
        <v>434</v>
      </c>
      <c r="AU279" t="s">
        <v>383</v>
      </c>
      <c r="AV279" t="s">
        <v>383</v>
      </c>
      <c r="AW279" t="s">
        <v>384</v>
      </c>
      <c r="AX279" t="s">
        <v>383</v>
      </c>
      <c r="AY279" t="s">
        <v>384</v>
      </c>
      <c r="AZ279" t="s">
        <v>384</v>
      </c>
      <c r="BA279" t="s">
        <v>372</v>
      </c>
      <c r="BB279" t="s">
        <v>367</v>
      </c>
      <c r="BC279">
        <v>5</v>
      </c>
      <c r="BD279" t="s">
        <v>374</v>
      </c>
      <c r="BR279" s="73"/>
      <c r="CX279" s="73"/>
      <c r="EQ279" s="73"/>
    </row>
    <row r="280" spans="1:209" ht="14.25" customHeight="1" x14ac:dyDescent="0.25">
      <c r="A280" t="s">
        <v>559</v>
      </c>
      <c r="D280" t="s">
        <v>366</v>
      </c>
      <c r="E280" s="73">
        <v>46193</v>
      </c>
      <c r="F280" t="s">
        <v>367</v>
      </c>
      <c r="H280" t="s">
        <v>368</v>
      </c>
      <c r="I280" t="s">
        <v>368</v>
      </c>
      <c r="J280">
        <v>1968</v>
      </c>
      <c r="K280" t="s">
        <v>369</v>
      </c>
      <c r="L280" t="s">
        <v>370</v>
      </c>
      <c r="M280" t="s">
        <v>371</v>
      </c>
      <c r="N280" t="s">
        <v>371</v>
      </c>
      <c r="O280" t="s">
        <v>371</v>
      </c>
      <c r="P280" t="s">
        <v>371</v>
      </c>
      <c r="Q280" t="s">
        <v>371</v>
      </c>
      <c r="R280" t="s">
        <v>372</v>
      </c>
      <c r="S280" t="s">
        <v>372</v>
      </c>
      <c r="T280" t="s">
        <v>367</v>
      </c>
      <c r="U280" t="s">
        <v>367</v>
      </c>
      <c r="W280" t="s">
        <v>367</v>
      </c>
      <c r="X280" t="s">
        <v>399</v>
      </c>
      <c r="Y280" t="s">
        <v>421</v>
      </c>
      <c r="Z280" t="s">
        <v>374</v>
      </c>
      <c r="AB280" s="73"/>
      <c r="AQ280" s="73"/>
      <c r="BG280" t="s">
        <v>371</v>
      </c>
      <c r="BH280" t="s">
        <v>371</v>
      </c>
      <c r="BI280" t="s">
        <v>371</v>
      </c>
      <c r="BJ280" t="s">
        <v>371</v>
      </c>
      <c r="BK280" t="s">
        <v>371</v>
      </c>
      <c r="BL280" t="s">
        <v>371</v>
      </c>
      <c r="BM280" t="s">
        <v>371</v>
      </c>
      <c r="BN280" t="s">
        <v>371</v>
      </c>
      <c r="BO280" t="s">
        <v>371</v>
      </c>
      <c r="BQ280" t="s">
        <v>375</v>
      </c>
      <c r="BR280" s="73"/>
      <c r="CX280" s="73"/>
      <c r="EQ280" s="73"/>
      <c r="FT280">
        <v>0</v>
      </c>
      <c r="FZ280" t="s">
        <v>371</v>
      </c>
      <c r="GA280" t="s">
        <v>371</v>
      </c>
      <c r="GB280" t="s">
        <v>371</v>
      </c>
      <c r="GC280" t="s">
        <v>371</v>
      </c>
      <c r="GD280" t="s">
        <v>371</v>
      </c>
      <c r="GF280" t="s">
        <v>371</v>
      </c>
      <c r="GG280" t="s">
        <v>371</v>
      </c>
      <c r="GH280" t="s">
        <v>371</v>
      </c>
      <c r="GI280" t="s">
        <v>371</v>
      </c>
      <c r="GJ280" t="s">
        <v>371</v>
      </c>
      <c r="GK280" t="s">
        <v>371</v>
      </c>
      <c r="GN280" t="s">
        <v>371</v>
      </c>
      <c r="GO280" t="s">
        <v>371</v>
      </c>
      <c r="GP280" t="s">
        <v>371</v>
      </c>
      <c r="GQ280" t="s">
        <v>371</v>
      </c>
      <c r="GR280" t="s">
        <v>371</v>
      </c>
      <c r="GS280" t="s">
        <v>371</v>
      </c>
      <c r="GT280" t="s">
        <v>371</v>
      </c>
      <c r="GU280" t="s">
        <v>371</v>
      </c>
      <c r="GV280" t="s">
        <v>371</v>
      </c>
      <c r="GW280" t="s">
        <v>371</v>
      </c>
      <c r="GX280" t="s">
        <v>371</v>
      </c>
      <c r="HA280" t="s">
        <v>375</v>
      </c>
    </row>
    <row r="281" spans="1:209" ht="14.25" customHeight="1" x14ac:dyDescent="0.25">
      <c r="A281" t="s">
        <v>559</v>
      </c>
      <c r="B281" t="s">
        <v>376</v>
      </c>
      <c r="C281">
        <v>1</v>
      </c>
      <c r="D281" t="s">
        <v>366</v>
      </c>
      <c r="E281" s="73"/>
      <c r="AA281" t="s">
        <v>377</v>
      </c>
      <c r="AB281" s="73">
        <v>46193</v>
      </c>
      <c r="AC281" t="s">
        <v>382</v>
      </c>
      <c r="AF281" t="s">
        <v>379</v>
      </c>
      <c r="AI281" t="s">
        <v>400</v>
      </c>
      <c r="AJ281">
        <v>0</v>
      </c>
      <c r="AK281" t="s">
        <v>372</v>
      </c>
      <c r="AP281" t="s">
        <v>374</v>
      </c>
      <c r="AQ281" s="73"/>
      <c r="BR281" s="73"/>
      <c r="CX281" s="73"/>
      <c r="EQ281" s="73"/>
    </row>
    <row r="282" spans="1:209" ht="14.25" customHeight="1" x14ac:dyDescent="0.25">
      <c r="A282" t="s">
        <v>559</v>
      </c>
      <c r="B282" t="s">
        <v>381</v>
      </c>
      <c r="C282">
        <v>1</v>
      </c>
      <c r="D282" t="s">
        <v>366</v>
      </c>
      <c r="E282" s="73"/>
      <c r="AB282" s="73"/>
      <c r="AQ282" s="73">
        <v>46193</v>
      </c>
      <c r="AR282" t="s">
        <v>397</v>
      </c>
      <c r="AU282" t="s">
        <v>383</v>
      </c>
      <c r="AV282" t="s">
        <v>383</v>
      </c>
      <c r="AW282" t="s">
        <v>383</v>
      </c>
      <c r="AX282" t="s">
        <v>383</v>
      </c>
      <c r="AY282" t="s">
        <v>384</v>
      </c>
      <c r="AZ282" t="s">
        <v>384</v>
      </c>
      <c r="BA282" t="s">
        <v>367</v>
      </c>
      <c r="BB282" t="s">
        <v>372</v>
      </c>
      <c r="BC282">
        <v>6</v>
      </c>
      <c r="BD282" t="s">
        <v>374</v>
      </c>
      <c r="BR282" s="73"/>
      <c r="CX282" s="73"/>
      <c r="EQ282" s="73"/>
    </row>
    <row r="283" spans="1:209" ht="14.25" customHeight="1" x14ac:dyDescent="0.25">
      <c r="A283" t="s">
        <v>560</v>
      </c>
      <c r="D283" t="s">
        <v>366</v>
      </c>
      <c r="E283" s="73">
        <v>46193</v>
      </c>
      <c r="F283" t="s">
        <v>367</v>
      </c>
      <c r="H283" t="s">
        <v>403</v>
      </c>
      <c r="I283" t="s">
        <v>368</v>
      </c>
      <c r="J283">
        <v>2004</v>
      </c>
      <c r="K283" t="s">
        <v>561</v>
      </c>
      <c r="L283" t="s">
        <v>370</v>
      </c>
      <c r="M283" t="s">
        <v>371</v>
      </c>
      <c r="N283" t="s">
        <v>371</v>
      </c>
      <c r="O283" t="s">
        <v>371</v>
      </c>
      <c r="P283" t="s">
        <v>371</v>
      </c>
      <c r="Q283" t="s">
        <v>371</v>
      </c>
      <c r="R283" t="s">
        <v>372</v>
      </c>
      <c r="S283" t="s">
        <v>372</v>
      </c>
      <c r="T283" t="s">
        <v>372</v>
      </c>
      <c r="U283" t="s">
        <v>367</v>
      </c>
      <c r="W283" t="s">
        <v>367</v>
      </c>
      <c r="X283" t="s">
        <v>373</v>
      </c>
      <c r="Y283" t="s">
        <v>367</v>
      </c>
      <c r="Z283" t="s">
        <v>374</v>
      </c>
      <c r="AB283" s="73"/>
      <c r="AQ283" s="73"/>
      <c r="BG283" t="s">
        <v>371</v>
      </c>
      <c r="BH283" t="s">
        <v>371</v>
      </c>
      <c r="BI283" t="s">
        <v>371</v>
      </c>
      <c r="BJ283" t="s">
        <v>371</v>
      </c>
      <c r="BK283" t="s">
        <v>371</v>
      </c>
      <c r="BL283" t="s">
        <v>371</v>
      </c>
      <c r="BM283" t="s">
        <v>371</v>
      </c>
      <c r="BN283" t="s">
        <v>371</v>
      </c>
      <c r="BO283" t="s">
        <v>371</v>
      </c>
      <c r="BQ283" t="s">
        <v>375</v>
      </c>
      <c r="BR283" s="73"/>
      <c r="CX283" s="73"/>
      <c r="EQ283" s="73"/>
      <c r="FT283">
        <v>0</v>
      </c>
      <c r="FZ283" t="s">
        <v>371</v>
      </c>
      <c r="GA283" t="s">
        <v>371</v>
      </c>
      <c r="GB283" t="s">
        <v>371</v>
      </c>
      <c r="GC283" t="s">
        <v>371</v>
      </c>
      <c r="GD283" t="s">
        <v>371</v>
      </c>
      <c r="GF283" t="s">
        <v>371</v>
      </c>
      <c r="GG283" t="s">
        <v>371</v>
      </c>
      <c r="GH283" t="s">
        <v>371</v>
      </c>
      <c r="GI283" t="s">
        <v>371</v>
      </c>
      <c r="GJ283" t="s">
        <v>371</v>
      </c>
      <c r="GK283" t="s">
        <v>371</v>
      </c>
      <c r="GN283" t="s">
        <v>371</v>
      </c>
      <c r="GO283" t="s">
        <v>371</v>
      </c>
      <c r="GP283" t="s">
        <v>371</v>
      </c>
      <c r="GQ283" t="s">
        <v>371</v>
      </c>
      <c r="GR283" t="s">
        <v>371</v>
      </c>
      <c r="GS283" t="s">
        <v>371</v>
      </c>
      <c r="GT283" t="s">
        <v>371</v>
      </c>
      <c r="GU283" t="s">
        <v>371</v>
      </c>
      <c r="GV283" t="s">
        <v>371</v>
      </c>
      <c r="GW283" t="s">
        <v>371</v>
      </c>
      <c r="GX283" t="s">
        <v>371</v>
      </c>
      <c r="HA283" t="s">
        <v>375</v>
      </c>
    </row>
    <row r="284" spans="1:209" ht="14.25" customHeight="1" x14ac:dyDescent="0.25">
      <c r="A284" t="s">
        <v>560</v>
      </c>
      <c r="B284" t="s">
        <v>376</v>
      </c>
      <c r="C284">
        <v>1</v>
      </c>
      <c r="D284" t="s">
        <v>366</v>
      </c>
      <c r="E284" s="73"/>
      <c r="AA284" t="s">
        <v>377</v>
      </c>
      <c r="AB284" s="73">
        <v>46193</v>
      </c>
      <c r="AC284" t="s">
        <v>382</v>
      </c>
      <c r="AF284" t="s">
        <v>379</v>
      </c>
      <c r="AI284" t="s">
        <v>400</v>
      </c>
      <c r="AJ284">
        <v>0</v>
      </c>
      <c r="AK284" t="s">
        <v>372</v>
      </c>
      <c r="AP284" t="s">
        <v>374</v>
      </c>
      <c r="AQ284" s="73"/>
      <c r="BR284" s="73"/>
      <c r="CX284" s="73"/>
      <c r="EQ284" s="73"/>
    </row>
    <row r="285" spans="1:209" ht="14.25" customHeight="1" x14ac:dyDescent="0.25">
      <c r="A285" t="s">
        <v>560</v>
      </c>
      <c r="B285" t="s">
        <v>381</v>
      </c>
      <c r="C285">
        <v>1</v>
      </c>
      <c r="D285" t="s">
        <v>366</v>
      </c>
      <c r="E285" s="73"/>
      <c r="AB285" s="73"/>
      <c r="AQ285" s="73">
        <v>46193</v>
      </c>
      <c r="AR285" t="s">
        <v>397</v>
      </c>
      <c r="AU285" t="s">
        <v>384</v>
      </c>
      <c r="AV285" t="s">
        <v>383</v>
      </c>
      <c r="AW285" t="s">
        <v>384</v>
      </c>
      <c r="AX285" t="s">
        <v>383</v>
      </c>
      <c r="AY285" t="s">
        <v>383</v>
      </c>
      <c r="AZ285" t="s">
        <v>383</v>
      </c>
      <c r="BA285" t="s">
        <v>367</v>
      </c>
      <c r="BB285" t="s">
        <v>372</v>
      </c>
      <c r="BC285">
        <v>6</v>
      </c>
      <c r="BD285" t="s">
        <v>374</v>
      </c>
      <c r="BR285" s="73"/>
      <c r="CX285" s="73"/>
      <c r="EQ285" s="73"/>
    </row>
    <row r="286" spans="1:209" ht="14.25" customHeight="1" x14ac:dyDescent="0.25">
      <c r="A286" t="s">
        <v>562</v>
      </c>
      <c r="D286" t="s">
        <v>366</v>
      </c>
      <c r="E286" s="73">
        <v>46193</v>
      </c>
      <c r="F286" t="s">
        <v>367</v>
      </c>
      <c r="H286" t="s">
        <v>403</v>
      </c>
      <c r="I286" t="s">
        <v>403</v>
      </c>
      <c r="J286">
        <v>2006</v>
      </c>
      <c r="K286" t="s">
        <v>369</v>
      </c>
      <c r="L286" t="s">
        <v>371</v>
      </c>
      <c r="M286" t="s">
        <v>371</v>
      </c>
      <c r="N286" t="s">
        <v>371</v>
      </c>
      <c r="O286" t="s">
        <v>371</v>
      </c>
      <c r="P286" t="s">
        <v>371</v>
      </c>
      <c r="Q286" t="s">
        <v>370</v>
      </c>
      <c r="R286" t="s">
        <v>372</v>
      </c>
      <c r="S286" t="s">
        <v>372</v>
      </c>
      <c r="T286" t="s">
        <v>372</v>
      </c>
      <c r="U286" t="s">
        <v>367</v>
      </c>
      <c r="W286" t="s">
        <v>367</v>
      </c>
      <c r="X286" t="s">
        <v>373</v>
      </c>
      <c r="Y286" t="s">
        <v>367</v>
      </c>
      <c r="Z286" t="s">
        <v>374</v>
      </c>
      <c r="AB286" s="73"/>
      <c r="AQ286" s="73"/>
      <c r="BG286" t="s">
        <v>371</v>
      </c>
      <c r="BH286" t="s">
        <v>371</v>
      </c>
      <c r="BI286" t="s">
        <v>371</v>
      </c>
      <c r="BJ286" t="s">
        <v>371</v>
      </c>
      <c r="BK286" t="s">
        <v>371</v>
      </c>
      <c r="BL286" t="s">
        <v>371</v>
      </c>
      <c r="BM286" t="s">
        <v>371</v>
      </c>
      <c r="BN286" t="s">
        <v>371</v>
      </c>
      <c r="BO286" t="s">
        <v>371</v>
      </c>
      <c r="BQ286" t="s">
        <v>375</v>
      </c>
      <c r="BR286" s="73"/>
      <c r="CX286" s="73"/>
      <c r="EQ286" s="73"/>
      <c r="FT286">
        <v>0</v>
      </c>
      <c r="FZ286" t="s">
        <v>371</v>
      </c>
      <c r="GA286" t="s">
        <v>371</v>
      </c>
      <c r="GB286" t="s">
        <v>371</v>
      </c>
      <c r="GC286" t="s">
        <v>371</v>
      </c>
      <c r="GD286" t="s">
        <v>371</v>
      </c>
      <c r="GF286" t="s">
        <v>371</v>
      </c>
      <c r="GG286" t="s">
        <v>371</v>
      </c>
      <c r="GH286" t="s">
        <v>371</v>
      </c>
      <c r="GI286" t="s">
        <v>371</v>
      </c>
      <c r="GJ286" t="s">
        <v>371</v>
      </c>
      <c r="GK286" t="s">
        <v>371</v>
      </c>
      <c r="GN286" t="s">
        <v>371</v>
      </c>
      <c r="GO286" t="s">
        <v>371</v>
      </c>
      <c r="GP286" t="s">
        <v>371</v>
      </c>
      <c r="GQ286" t="s">
        <v>371</v>
      </c>
      <c r="GR286" t="s">
        <v>371</v>
      </c>
      <c r="GS286" t="s">
        <v>371</v>
      </c>
      <c r="GT286" t="s">
        <v>371</v>
      </c>
      <c r="GU286" t="s">
        <v>371</v>
      </c>
      <c r="GV286" t="s">
        <v>371</v>
      </c>
      <c r="GW286" t="s">
        <v>371</v>
      </c>
      <c r="GX286" t="s">
        <v>371</v>
      </c>
      <c r="HA286" t="s">
        <v>375</v>
      </c>
    </row>
    <row r="287" spans="1:209" ht="14.25" customHeight="1" x14ac:dyDescent="0.25">
      <c r="A287" t="s">
        <v>562</v>
      </c>
      <c r="B287" t="s">
        <v>376</v>
      </c>
      <c r="C287">
        <v>1</v>
      </c>
      <c r="D287" t="s">
        <v>366</v>
      </c>
      <c r="E287" s="73"/>
      <c r="AA287" t="s">
        <v>377</v>
      </c>
      <c r="AB287" s="73">
        <v>46193</v>
      </c>
      <c r="AC287" t="s">
        <v>382</v>
      </c>
      <c r="AF287" t="s">
        <v>379</v>
      </c>
      <c r="AI287" t="s">
        <v>400</v>
      </c>
      <c r="AJ287">
        <v>0</v>
      </c>
      <c r="AK287" t="s">
        <v>372</v>
      </c>
      <c r="AP287" t="s">
        <v>374</v>
      </c>
      <c r="AQ287" s="73"/>
      <c r="BR287" s="73"/>
      <c r="CX287" s="73"/>
      <c r="EQ287" s="73"/>
    </row>
    <row r="288" spans="1:209" ht="14.25" customHeight="1" x14ac:dyDescent="0.25">
      <c r="A288" t="s">
        <v>562</v>
      </c>
      <c r="B288" t="s">
        <v>381</v>
      </c>
      <c r="C288">
        <v>1</v>
      </c>
      <c r="D288" t="s">
        <v>366</v>
      </c>
      <c r="E288" s="73"/>
      <c r="AB288" s="73"/>
      <c r="AQ288" s="73">
        <v>46193</v>
      </c>
      <c r="AR288" t="s">
        <v>397</v>
      </c>
      <c r="AU288" t="s">
        <v>383</v>
      </c>
      <c r="AV288" t="s">
        <v>384</v>
      </c>
      <c r="AW288" t="s">
        <v>384</v>
      </c>
      <c r="AX288" t="s">
        <v>383</v>
      </c>
      <c r="AY288" t="s">
        <v>383</v>
      </c>
      <c r="AZ288" t="s">
        <v>384</v>
      </c>
      <c r="BA288" t="s">
        <v>367</v>
      </c>
      <c r="BB288" t="s">
        <v>372</v>
      </c>
      <c r="BC288">
        <v>5</v>
      </c>
      <c r="BD288" t="s">
        <v>374</v>
      </c>
      <c r="BR288" s="73"/>
      <c r="CX288" s="73"/>
      <c r="EQ288" s="73"/>
    </row>
    <row r="289" spans="1:209" ht="14.25" customHeight="1" x14ac:dyDescent="0.25">
      <c r="A289" t="s">
        <v>563</v>
      </c>
      <c r="D289" t="s">
        <v>366</v>
      </c>
      <c r="E289" s="73">
        <v>46193</v>
      </c>
      <c r="F289" t="s">
        <v>367</v>
      </c>
      <c r="H289" t="s">
        <v>403</v>
      </c>
      <c r="I289" t="s">
        <v>403</v>
      </c>
      <c r="J289">
        <v>2006</v>
      </c>
      <c r="K289" t="s">
        <v>448</v>
      </c>
      <c r="L289" t="s">
        <v>371</v>
      </c>
      <c r="M289" t="s">
        <v>370</v>
      </c>
      <c r="N289" t="s">
        <v>371</v>
      </c>
      <c r="O289" t="s">
        <v>371</v>
      </c>
      <c r="P289" t="s">
        <v>371</v>
      </c>
      <c r="Q289" t="s">
        <v>371</v>
      </c>
      <c r="R289" t="s">
        <v>372</v>
      </c>
      <c r="S289" t="s">
        <v>372</v>
      </c>
      <c r="T289" t="s">
        <v>367</v>
      </c>
      <c r="U289" t="s">
        <v>367</v>
      </c>
      <c r="W289" t="s">
        <v>367</v>
      </c>
      <c r="X289" t="s">
        <v>373</v>
      </c>
      <c r="Y289" t="s">
        <v>367</v>
      </c>
      <c r="Z289" t="s">
        <v>374</v>
      </c>
      <c r="AB289" s="73"/>
      <c r="AQ289" s="73"/>
      <c r="BG289" t="s">
        <v>371</v>
      </c>
      <c r="BH289" t="s">
        <v>371</v>
      </c>
      <c r="BI289" t="s">
        <v>371</v>
      </c>
      <c r="BJ289" t="s">
        <v>371</v>
      </c>
      <c r="BK289" t="s">
        <v>371</v>
      </c>
      <c r="BL289" t="s">
        <v>371</v>
      </c>
      <c r="BM289" t="s">
        <v>371</v>
      </c>
      <c r="BN289" t="s">
        <v>371</v>
      </c>
      <c r="BO289" t="s">
        <v>371</v>
      </c>
      <c r="BQ289" t="s">
        <v>375</v>
      </c>
      <c r="BR289" s="73"/>
      <c r="CX289" s="73"/>
      <c r="EQ289" s="73"/>
      <c r="FT289">
        <v>0</v>
      </c>
      <c r="FZ289" t="s">
        <v>371</v>
      </c>
      <c r="GA289" t="s">
        <v>371</v>
      </c>
      <c r="GB289" t="s">
        <v>371</v>
      </c>
      <c r="GC289" t="s">
        <v>371</v>
      </c>
      <c r="GD289" t="s">
        <v>371</v>
      </c>
      <c r="GF289" t="s">
        <v>371</v>
      </c>
      <c r="GG289" t="s">
        <v>371</v>
      </c>
      <c r="GH289" t="s">
        <v>371</v>
      </c>
      <c r="GI289" t="s">
        <v>371</v>
      </c>
      <c r="GJ289" t="s">
        <v>371</v>
      </c>
      <c r="GK289" t="s">
        <v>371</v>
      </c>
      <c r="GN289" t="s">
        <v>371</v>
      </c>
      <c r="GO289" t="s">
        <v>371</v>
      </c>
      <c r="GP289" t="s">
        <v>371</v>
      </c>
      <c r="GQ289" t="s">
        <v>371</v>
      </c>
      <c r="GR289" t="s">
        <v>371</v>
      </c>
      <c r="GS289" t="s">
        <v>371</v>
      </c>
      <c r="GT289" t="s">
        <v>371</v>
      </c>
      <c r="GU289" t="s">
        <v>371</v>
      </c>
      <c r="GV289" t="s">
        <v>371</v>
      </c>
      <c r="GW289" t="s">
        <v>371</v>
      </c>
      <c r="GX289" t="s">
        <v>371</v>
      </c>
      <c r="HA289" t="s">
        <v>375</v>
      </c>
    </row>
    <row r="290" spans="1:209" ht="14.25" customHeight="1" x14ac:dyDescent="0.25">
      <c r="A290" t="s">
        <v>563</v>
      </c>
      <c r="B290" t="s">
        <v>376</v>
      </c>
      <c r="C290">
        <v>1</v>
      </c>
      <c r="D290" t="s">
        <v>366</v>
      </c>
      <c r="E290" s="73"/>
      <c r="AA290" t="s">
        <v>377</v>
      </c>
      <c r="AB290" s="73">
        <v>46193</v>
      </c>
      <c r="AC290" t="s">
        <v>382</v>
      </c>
      <c r="AF290" t="s">
        <v>379</v>
      </c>
      <c r="AI290" t="s">
        <v>400</v>
      </c>
      <c r="AJ290">
        <v>0</v>
      </c>
      <c r="AK290" t="s">
        <v>372</v>
      </c>
      <c r="AP290" t="s">
        <v>374</v>
      </c>
      <c r="AQ290" s="73"/>
      <c r="BR290" s="73"/>
      <c r="CX290" s="73"/>
      <c r="EQ290" s="73"/>
    </row>
    <row r="291" spans="1:209" ht="14.25" customHeight="1" x14ac:dyDescent="0.25">
      <c r="A291" t="s">
        <v>563</v>
      </c>
      <c r="B291" t="s">
        <v>381</v>
      </c>
      <c r="C291">
        <v>1</v>
      </c>
      <c r="D291" t="s">
        <v>366</v>
      </c>
      <c r="E291" s="73"/>
      <c r="AB291" s="73"/>
      <c r="AQ291" s="73">
        <v>46193</v>
      </c>
      <c r="AR291" t="s">
        <v>382</v>
      </c>
      <c r="AU291" t="s">
        <v>384</v>
      </c>
      <c r="AV291" t="s">
        <v>383</v>
      </c>
      <c r="AW291" t="s">
        <v>384</v>
      </c>
      <c r="AX291" t="s">
        <v>383</v>
      </c>
      <c r="AY291" t="s">
        <v>384</v>
      </c>
      <c r="AZ291" t="s">
        <v>383</v>
      </c>
      <c r="BA291" t="s">
        <v>367</v>
      </c>
      <c r="BB291" t="s">
        <v>367</v>
      </c>
      <c r="BC291">
        <v>3</v>
      </c>
      <c r="BD291" t="s">
        <v>374</v>
      </c>
      <c r="BR291" s="73"/>
      <c r="CX291" s="73"/>
      <c r="EQ291" s="73"/>
    </row>
    <row r="292" spans="1:209" ht="14.25" customHeight="1" x14ac:dyDescent="0.25">
      <c r="A292" t="s">
        <v>564</v>
      </c>
      <c r="D292" t="s">
        <v>366</v>
      </c>
      <c r="E292" s="73">
        <v>46193</v>
      </c>
      <c r="F292" t="s">
        <v>367</v>
      </c>
      <c r="H292" t="s">
        <v>403</v>
      </c>
      <c r="I292" t="s">
        <v>403</v>
      </c>
      <c r="J292">
        <v>1972</v>
      </c>
      <c r="K292" t="s">
        <v>448</v>
      </c>
      <c r="L292" t="s">
        <v>370</v>
      </c>
      <c r="M292" t="s">
        <v>371</v>
      </c>
      <c r="N292" t="s">
        <v>371</v>
      </c>
      <c r="O292" t="s">
        <v>371</v>
      </c>
      <c r="P292" t="s">
        <v>371</v>
      </c>
      <c r="Q292" t="s">
        <v>371</v>
      </c>
      <c r="R292" t="s">
        <v>372</v>
      </c>
      <c r="S292" t="s">
        <v>372</v>
      </c>
      <c r="T292" t="s">
        <v>372</v>
      </c>
      <c r="U292" t="s">
        <v>367</v>
      </c>
      <c r="W292" t="s">
        <v>367</v>
      </c>
      <c r="X292" t="s">
        <v>399</v>
      </c>
      <c r="Y292" t="s">
        <v>421</v>
      </c>
      <c r="Z292" t="s">
        <v>374</v>
      </c>
      <c r="AB292" s="73"/>
      <c r="AQ292" s="73"/>
      <c r="BG292" t="s">
        <v>371</v>
      </c>
      <c r="BH292" t="s">
        <v>371</v>
      </c>
      <c r="BI292" t="s">
        <v>371</v>
      </c>
      <c r="BJ292" t="s">
        <v>371</v>
      </c>
      <c r="BK292" t="s">
        <v>371</v>
      </c>
      <c r="BL292" t="s">
        <v>371</v>
      </c>
      <c r="BM292" t="s">
        <v>371</v>
      </c>
      <c r="BN292" t="s">
        <v>371</v>
      </c>
      <c r="BO292" t="s">
        <v>371</v>
      </c>
      <c r="BQ292" t="s">
        <v>375</v>
      </c>
      <c r="BR292" s="73"/>
      <c r="CX292" s="73"/>
      <c r="EQ292" s="73"/>
      <c r="FT292">
        <v>0</v>
      </c>
      <c r="FZ292" t="s">
        <v>371</v>
      </c>
      <c r="GA292" t="s">
        <v>371</v>
      </c>
      <c r="GB292" t="s">
        <v>371</v>
      </c>
      <c r="GC292" t="s">
        <v>371</v>
      </c>
      <c r="GD292" t="s">
        <v>371</v>
      </c>
      <c r="GF292" t="s">
        <v>371</v>
      </c>
      <c r="GG292" t="s">
        <v>371</v>
      </c>
      <c r="GH292" t="s">
        <v>371</v>
      </c>
      <c r="GI292" t="s">
        <v>371</v>
      </c>
      <c r="GJ292" t="s">
        <v>371</v>
      </c>
      <c r="GK292" t="s">
        <v>371</v>
      </c>
      <c r="GN292" t="s">
        <v>371</v>
      </c>
      <c r="GO292" t="s">
        <v>371</v>
      </c>
      <c r="GP292" t="s">
        <v>371</v>
      </c>
      <c r="GQ292" t="s">
        <v>371</v>
      </c>
      <c r="GR292" t="s">
        <v>371</v>
      </c>
      <c r="GS292" t="s">
        <v>371</v>
      </c>
      <c r="GT292" t="s">
        <v>371</v>
      </c>
      <c r="GU292" t="s">
        <v>371</v>
      </c>
      <c r="GV292" t="s">
        <v>371</v>
      </c>
      <c r="GW292" t="s">
        <v>371</v>
      </c>
      <c r="GX292" t="s">
        <v>371</v>
      </c>
      <c r="HA292" t="s">
        <v>375</v>
      </c>
    </row>
    <row r="293" spans="1:209" ht="14.25" customHeight="1" x14ac:dyDescent="0.25">
      <c r="A293" t="s">
        <v>564</v>
      </c>
      <c r="B293" t="s">
        <v>376</v>
      </c>
      <c r="C293">
        <v>1</v>
      </c>
      <c r="D293" t="s">
        <v>366</v>
      </c>
      <c r="E293" s="73"/>
      <c r="AA293" t="s">
        <v>377</v>
      </c>
      <c r="AB293" s="73">
        <v>46193</v>
      </c>
      <c r="AC293" t="s">
        <v>382</v>
      </c>
      <c r="AF293" t="s">
        <v>379</v>
      </c>
      <c r="AI293" t="s">
        <v>400</v>
      </c>
      <c r="AJ293">
        <v>0</v>
      </c>
      <c r="AK293" t="s">
        <v>372</v>
      </c>
      <c r="AP293" t="s">
        <v>374</v>
      </c>
      <c r="AQ293" s="73"/>
      <c r="BR293" s="73"/>
      <c r="CX293" s="73"/>
      <c r="EQ293" s="73"/>
    </row>
    <row r="294" spans="1:209" ht="14.25" customHeight="1" x14ac:dyDescent="0.25">
      <c r="A294" t="s">
        <v>564</v>
      </c>
      <c r="B294" t="s">
        <v>381</v>
      </c>
      <c r="C294">
        <v>1</v>
      </c>
      <c r="D294" t="s">
        <v>366</v>
      </c>
      <c r="E294" s="73"/>
      <c r="AB294" s="73"/>
      <c r="AQ294" s="73">
        <v>46193</v>
      </c>
      <c r="AR294" t="s">
        <v>378</v>
      </c>
      <c r="AU294" t="s">
        <v>383</v>
      </c>
      <c r="AV294" t="s">
        <v>384</v>
      </c>
      <c r="AW294" t="s">
        <v>384</v>
      </c>
      <c r="AX294" t="s">
        <v>385</v>
      </c>
      <c r="AY294" t="s">
        <v>384</v>
      </c>
      <c r="AZ294" t="s">
        <v>384</v>
      </c>
      <c r="BA294" t="s">
        <v>367</v>
      </c>
      <c r="BB294" t="s">
        <v>367</v>
      </c>
      <c r="BC294">
        <v>3</v>
      </c>
      <c r="BD294" t="s">
        <v>374</v>
      </c>
      <c r="BR294" s="73"/>
      <c r="CX294" s="73"/>
      <c r="EQ294" s="73"/>
    </row>
    <row r="295" spans="1:209" ht="14.25" customHeight="1" x14ac:dyDescent="0.25">
      <c r="A295" t="s">
        <v>565</v>
      </c>
      <c r="D295" t="s">
        <v>366</v>
      </c>
      <c r="E295" s="73">
        <v>46193</v>
      </c>
      <c r="F295" t="s">
        <v>367</v>
      </c>
      <c r="H295" t="s">
        <v>403</v>
      </c>
      <c r="I295" t="s">
        <v>403</v>
      </c>
      <c r="J295">
        <v>1963</v>
      </c>
      <c r="K295" t="s">
        <v>448</v>
      </c>
      <c r="L295" t="s">
        <v>370</v>
      </c>
      <c r="M295" t="s">
        <v>371</v>
      </c>
      <c r="N295" t="s">
        <v>371</v>
      </c>
      <c r="O295" t="s">
        <v>371</v>
      </c>
      <c r="P295" t="s">
        <v>371</v>
      </c>
      <c r="Q295" t="s">
        <v>371</v>
      </c>
      <c r="R295" t="s">
        <v>372</v>
      </c>
      <c r="S295" t="s">
        <v>372</v>
      </c>
      <c r="T295" t="s">
        <v>367</v>
      </c>
      <c r="U295" t="s">
        <v>367</v>
      </c>
      <c r="W295" t="s">
        <v>367</v>
      </c>
      <c r="X295" t="s">
        <v>392</v>
      </c>
      <c r="Y295" t="s">
        <v>421</v>
      </c>
      <c r="Z295" t="s">
        <v>374</v>
      </c>
      <c r="AB295" s="73"/>
      <c r="AQ295" s="73"/>
      <c r="BG295" t="s">
        <v>371</v>
      </c>
      <c r="BH295" t="s">
        <v>371</v>
      </c>
      <c r="BI295" t="s">
        <v>371</v>
      </c>
      <c r="BJ295" t="s">
        <v>371</v>
      </c>
      <c r="BK295" t="s">
        <v>371</v>
      </c>
      <c r="BL295" t="s">
        <v>371</v>
      </c>
      <c r="BM295" t="s">
        <v>371</v>
      </c>
      <c r="BN295" t="s">
        <v>371</v>
      </c>
      <c r="BO295" t="s">
        <v>371</v>
      </c>
      <c r="BQ295" t="s">
        <v>375</v>
      </c>
      <c r="BR295" s="73"/>
      <c r="CX295" s="73"/>
      <c r="EQ295" s="73"/>
      <c r="FT295">
        <v>0</v>
      </c>
      <c r="FZ295" t="s">
        <v>371</v>
      </c>
      <c r="GA295" t="s">
        <v>371</v>
      </c>
      <c r="GB295" t="s">
        <v>371</v>
      </c>
      <c r="GC295" t="s">
        <v>371</v>
      </c>
      <c r="GD295" t="s">
        <v>371</v>
      </c>
      <c r="GF295" t="s">
        <v>371</v>
      </c>
      <c r="GG295" t="s">
        <v>371</v>
      </c>
      <c r="GH295" t="s">
        <v>371</v>
      </c>
      <c r="GI295" t="s">
        <v>371</v>
      </c>
      <c r="GJ295" t="s">
        <v>371</v>
      </c>
      <c r="GK295" t="s">
        <v>371</v>
      </c>
      <c r="GN295" t="s">
        <v>371</v>
      </c>
      <c r="GO295" t="s">
        <v>371</v>
      </c>
      <c r="GP295" t="s">
        <v>371</v>
      </c>
      <c r="GQ295" t="s">
        <v>371</v>
      </c>
      <c r="GR295" t="s">
        <v>371</v>
      </c>
      <c r="GS295" t="s">
        <v>371</v>
      </c>
      <c r="GT295" t="s">
        <v>371</v>
      </c>
      <c r="GU295" t="s">
        <v>371</v>
      </c>
      <c r="GV295" t="s">
        <v>371</v>
      </c>
      <c r="GW295" t="s">
        <v>371</v>
      </c>
      <c r="GX295" t="s">
        <v>371</v>
      </c>
      <c r="HA295" t="s">
        <v>375</v>
      </c>
    </row>
    <row r="296" spans="1:209" ht="14.25" customHeight="1" x14ac:dyDescent="0.25">
      <c r="A296" t="s">
        <v>565</v>
      </c>
      <c r="B296" t="s">
        <v>376</v>
      </c>
      <c r="C296">
        <v>1</v>
      </c>
      <c r="D296" t="s">
        <v>366</v>
      </c>
      <c r="E296" s="73"/>
      <c r="AA296" t="s">
        <v>377</v>
      </c>
      <c r="AB296" s="73">
        <v>46193</v>
      </c>
      <c r="AC296" t="s">
        <v>382</v>
      </c>
      <c r="AF296" t="s">
        <v>379</v>
      </c>
      <c r="AI296" t="s">
        <v>400</v>
      </c>
      <c r="AJ296">
        <v>0</v>
      </c>
      <c r="AK296" t="s">
        <v>372</v>
      </c>
      <c r="AP296" t="s">
        <v>374</v>
      </c>
      <c r="AQ296" s="73"/>
      <c r="BR296" s="73"/>
      <c r="CX296" s="73"/>
      <c r="EQ296" s="73"/>
    </row>
    <row r="297" spans="1:209" ht="14.25" customHeight="1" x14ac:dyDescent="0.25">
      <c r="A297" t="s">
        <v>565</v>
      </c>
      <c r="B297" t="s">
        <v>381</v>
      </c>
      <c r="C297">
        <v>1</v>
      </c>
      <c r="D297" t="s">
        <v>366</v>
      </c>
      <c r="E297" s="73"/>
      <c r="AB297" s="73"/>
      <c r="AQ297" s="73">
        <v>46193</v>
      </c>
      <c r="AR297" t="s">
        <v>434</v>
      </c>
      <c r="AU297" t="s">
        <v>383</v>
      </c>
      <c r="AV297" t="s">
        <v>383</v>
      </c>
      <c r="AW297" t="s">
        <v>384</v>
      </c>
      <c r="AX297" t="s">
        <v>385</v>
      </c>
      <c r="AY297" t="s">
        <v>383</v>
      </c>
      <c r="AZ297" t="s">
        <v>383</v>
      </c>
      <c r="BA297" t="s">
        <v>367</v>
      </c>
      <c r="BB297" t="s">
        <v>367</v>
      </c>
      <c r="BC297">
        <v>6</v>
      </c>
      <c r="BD297" t="s">
        <v>374</v>
      </c>
      <c r="BR297" s="73"/>
      <c r="CX297" s="73"/>
      <c r="EQ297" s="73"/>
    </row>
    <row r="298" spans="1:209" ht="14.25" customHeight="1" x14ac:dyDescent="0.25">
      <c r="A298" t="s">
        <v>566</v>
      </c>
      <c r="D298" t="s">
        <v>366</v>
      </c>
      <c r="E298" s="73">
        <v>46193</v>
      </c>
      <c r="F298" t="s">
        <v>367</v>
      </c>
      <c r="H298" t="s">
        <v>368</v>
      </c>
      <c r="I298" t="s">
        <v>368</v>
      </c>
      <c r="J298">
        <v>1980</v>
      </c>
      <c r="K298" t="s">
        <v>369</v>
      </c>
      <c r="L298" t="s">
        <v>370</v>
      </c>
      <c r="M298" t="s">
        <v>371</v>
      </c>
      <c r="N298" t="s">
        <v>371</v>
      </c>
      <c r="O298" t="s">
        <v>371</v>
      </c>
      <c r="P298" t="s">
        <v>371</v>
      </c>
      <c r="Q298" t="s">
        <v>371</v>
      </c>
      <c r="R298" t="s">
        <v>372</v>
      </c>
      <c r="S298" t="s">
        <v>372</v>
      </c>
      <c r="T298" t="s">
        <v>372</v>
      </c>
      <c r="U298" t="s">
        <v>367</v>
      </c>
      <c r="W298" t="s">
        <v>367</v>
      </c>
      <c r="X298" t="s">
        <v>432</v>
      </c>
      <c r="Y298" t="s">
        <v>396</v>
      </c>
      <c r="Z298" t="s">
        <v>374</v>
      </c>
      <c r="AB298" s="73"/>
      <c r="AQ298" s="73"/>
      <c r="BG298" t="s">
        <v>371</v>
      </c>
      <c r="BH298" t="s">
        <v>371</v>
      </c>
      <c r="BI298" t="s">
        <v>371</v>
      </c>
      <c r="BJ298" t="s">
        <v>371</v>
      </c>
      <c r="BK298" t="s">
        <v>371</v>
      </c>
      <c r="BL298" t="s">
        <v>371</v>
      </c>
      <c r="BM298" t="s">
        <v>371</v>
      </c>
      <c r="BN298" t="s">
        <v>371</v>
      </c>
      <c r="BO298" t="s">
        <v>371</v>
      </c>
      <c r="BQ298" t="s">
        <v>375</v>
      </c>
      <c r="BR298" s="73"/>
      <c r="CX298" s="73"/>
      <c r="EQ298" s="73"/>
      <c r="FT298">
        <v>0</v>
      </c>
      <c r="FZ298" t="s">
        <v>371</v>
      </c>
      <c r="GA298" t="s">
        <v>371</v>
      </c>
      <c r="GB298" t="s">
        <v>371</v>
      </c>
      <c r="GC298" t="s">
        <v>371</v>
      </c>
      <c r="GD298" t="s">
        <v>371</v>
      </c>
      <c r="GF298" t="s">
        <v>371</v>
      </c>
      <c r="GG298" t="s">
        <v>371</v>
      </c>
      <c r="GH298" t="s">
        <v>371</v>
      </c>
      <c r="GI298" t="s">
        <v>371</v>
      </c>
      <c r="GJ298" t="s">
        <v>371</v>
      </c>
      <c r="GK298" t="s">
        <v>371</v>
      </c>
      <c r="GN298" t="s">
        <v>371</v>
      </c>
      <c r="GO298" t="s">
        <v>371</v>
      </c>
      <c r="GP298" t="s">
        <v>371</v>
      </c>
      <c r="GQ298" t="s">
        <v>371</v>
      </c>
      <c r="GR298" t="s">
        <v>371</v>
      </c>
      <c r="GS298" t="s">
        <v>371</v>
      </c>
      <c r="GT298" t="s">
        <v>371</v>
      </c>
      <c r="GU298" t="s">
        <v>371</v>
      </c>
      <c r="GV298" t="s">
        <v>371</v>
      </c>
      <c r="GW298" t="s">
        <v>371</v>
      </c>
      <c r="GX298" t="s">
        <v>371</v>
      </c>
      <c r="HA298" t="s">
        <v>375</v>
      </c>
    </row>
    <row r="299" spans="1:209" ht="14.25" customHeight="1" x14ac:dyDescent="0.25">
      <c r="A299" t="s">
        <v>566</v>
      </c>
      <c r="B299" t="s">
        <v>376</v>
      </c>
      <c r="C299">
        <v>1</v>
      </c>
      <c r="D299" t="s">
        <v>366</v>
      </c>
      <c r="E299" s="73"/>
      <c r="AA299" t="s">
        <v>377</v>
      </c>
      <c r="AB299" s="73">
        <v>46193</v>
      </c>
      <c r="AC299" t="s">
        <v>382</v>
      </c>
      <c r="AF299" t="s">
        <v>379</v>
      </c>
      <c r="AI299" t="s">
        <v>400</v>
      </c>
      <c r="AJ299">
        <v>0</v>
      </c>
      <c r="AK299" t="s">
        <v>372</v>
      </c>
      <c r="AP299" t="s">
        <v>374</v>
      </c>
      <c r="AQ299" s="73"/>
      <c r="BR299" s="73"/>
      <c r="CX299" s="73"/>
      <c r="EQ299" s="73"/>
    </row>
    <row r="300" spans="1:209" ht="14.25" customHeight="1" x14ac:dyDescent="0.25">
      <c r="A300" t="s">
        <v>566</v>
      </c>
      <c r="B300" t="s">
        <v>381</v>
      </c>
      <c r="C300">
        <v>1</v>
      </c>
      <c r="D300" t="s">
        <v>366</v>
      </c>
      <c r="E300" s="73"/>
      <c r="AB300" s="73"/>
      <c r="AQ300" s="73">
        <v>46193</v>
      </c>
      <c r="AR300" t="s">
        <v>382</v>
      </c>
      <c r="AU300" t="s">
        <v>383</v>
      </c>
      <c r="AV300" t="s">
        <v>385</v>
      </c>
      <c r="AW300" t="s">
        <v>383</v>
      </c>
      <c r="AX300" t="s">
        <v>385</v>
      </c>
      <c r="AY300" t="s">
        <v>383</v>
      </c>
      <c r="AZ300" t="s">
        <v>383</v>
      </c>
      <c r="BA300" t="s">
        <v>367</v>
      </c>
      <c r="BB300" t="s">
        <v>367</v>
      </c>
      <c r="BC300">
        <v>8</v>
      </c>
      <c r="BD300" t="s">
        <v>374</v>
      </c>
      <c r="BR300" s="73"/>
      <c r="CX300" s="73"/>
      <c r="EQ300" s="73"/>
    </row>
    <row r="301" spans="1:209" ht="14.25" customHeight="1" x14ac:dyDescent="0.25">
      <c r="A301" t="s">
        <v>566</v>
      </c>
      <c r="B301" t="s">
        <v>410</v>
      </c>
      <c r="C301">
        <v>1</v>
      </c>
      <c r="D301" t="s">
        <v>366</v>
      </c>
      <c r="E301" s="73"/>
      <c r="AB301" s="73"/>
      <c r="AQ301" s="73"/>
      <c r="BR301" s="73"/>
      <c r="CX301" s="73">
        <v>46195</v>
      </c>
      <c r="CY301" t="s">
        <v>411</v>
      </c>
      <c r="CZ301" t="s">
        <v>422</v>
      </c>
      <c r="DA301" t="s">
        <v>413</v>
      </c>
      <c r="DC301" t="s">
        <v>423</v>
      </c>
      <c r="DE301" t="s">
        <v>424</v>
      </c>
      <c r="DG301" t="s">
        <v>367</v>
      </c>
      <c r="DH301" t="s">
        <v>367</v>
      </c>
      <c r="DI301" t="s">
        <v>367</v>
      </c>
      <c r="DK301" t="s">
        <v>370</v>
      </c>
      <c r="DL301" t="s">
        <v>371</v>
      </c>
      <c r="DM301" t="s">
        <v>371</v>
      </c>
      <c r="DN301" t="s">
        <v>371</v>
      </c>
      <c r="DO301" t="s">
        <v>372</v>
      </c>
      <c r="DP301" t="s">
        <v>567</v>
      </c>
      <c r="DQ301" t="s">
        <v>371</v>
      </c>
      <c r="DR301" t="s">
        <v>371</v>
      </c>
      <c r="DS301" t="s">
        <v>371</v>
      </c>
      <c r="DT301" t="s">
        <v>371</v>
      </c>
      <c r="DU301" t="s">
        <v>371</v>
      </c>
      <c r="DV301" t="s">
        <v>371</v>
      </c>
      <c r="DW301" t="s">
        <v>371</v>
      </c>
      <c r="DX301" t="s">
        <v>370</v>
      </c>
      <c r="DY301" t="s">
        <v>371</v>
      </c>
      <c r="DZ301" t="s">
        <v>371</v>
      </c>
      <c r="EA301" t="s">
        <v>371</v>
      </c>
      <c r="EB301" t="s">
        <v>371</v>
      </c>
      <c r="EC301" t="s">
        <v>371</v>
      </c>
      <c r="ED301" t="s">
        <v>371</v>
      </c>
      <c r="EE301" t="s">
        <v>371</v>
      </c>
      <c r="EF301" t="s">
        <v>371</v>
      </c>
      <c r="EG301" t="s">
        <v>371</v>
      </c>
      <c r="EH301" t="s">
        <v>371</v>
      </c>
      <c r="EI301" t="s">
        <v>568</v>
      </c>
      <c r="EJ301" t="s">
        <v>370</v>
      </c>
      <c r="EK301" t="s">
        <v>370</v>
      </c>
      <c r="EL301" t="s">
        <v>371</v>
      </c>
      <c r="EM301" t="s">
        <v>371</v>
      </c>
      <c r="EN301" t="s">
        <v>371</v>
      </c>
      <c r="EO301" t="s">
        <v>371</v>
      </c>
      <c r="EQ301" s="73">
        <v>46225</v>
      </c>
      <c r="ER301" t="s">
        <v>569</v>
      </c>
      <c r="ES301" t="s">
        <v>374</v>
      </c>
    </row>
    <row r="302" spans="1:209" ht="14.25" customHeight="1" x14ac:dyDescent="0.25">
      <c r="A302" t="s">
        <v>570</v>
      </c>
      <c r="D302" t="s">
        <v>366</v>
      </c>
      <c r="E302" s="73">
        <v>46193</v>
      </c>
      <c r="F302" t="s">
        <v>367</v>
      </c>
      <c r="H302" t="s">
        <v>368</v>
      </c>
      <c r="I302" t="s">
        <v>368</v>
      </c>
      <c r="J302">
        <v>2005</v>
      </c>
      <c r="K302" t="s">
        <v>369</v>
      </c>
      <c r="L302" t="s">
        <v>370</v>
      </c>
      <c r="M302" t="s">
        <v>371</v>
      </c>
      <c r="N302" t="s">
        <v>371</v>
      </c>
      <c r="O302" t="s">
        <v>371</v>
      </c>
      <c r="P302" t="s">
        <v>371</v>
      </c>
      <c r="Q302" t="s">
        <v>371</v>
      </c>
      <c r="R302" t="s">
        <v>372</v>
      </c>
      <c r="S302" t="s">
        <v>372</v>
      </c>
      <c r="T302" t="s">
        <v>372</v>
      </c>
      <c r="U302" t="s">
        <v>372</v>
      </c>
      <c r="V302" t="s">
        <v>367</v>
      </c>
      <c r="W302" t="s">
        <v>372</v>
      </c>
      <c r="X302" t="s">
        <v>373</v>
      </c>
      <c r="Y302" t="s">
        <v>367</v>
      </c>
      <c r="Z302" t="s">
        <v>374</v>
      </c>
      <c r="AB302" s="73"/>
      <c r="AQ302" s="73"/>
      <c r="BG302" t="s">
        <v>371</v>
      </c>
      <c r="BH302" t="s">
        <v>371</v>
      </c>
      <c r="BI302" t="s">
        <v>371</v>
      </c>
      <c r="BJ302" t="s">
        <v>371</v>
      </c>
      <c r="BK302" t="s">
        <v>371</v>
      </c>
      <c r="BL302" t="s">
        <v>371</v>
      </c>
      <c r="BM302" t="s">
        <v>371</v>
      </c>
      <c r="BN302" t="s">
        <v>371</v>
      </c>
      <c r="BO302" t="s">
        <v>371</v>
      </c>
      <c r="BQ302" t="s">
        <v>375</v>
      </c>
      <c r="BR302" s="73"/>
      <c r="CX302" s="73"/>
      <c r="EQ302" s="73"/>
      <c r="FT302">
        <v>0</v>
      </c>
      <c r="FZ302" t="s">
        <v>371</v>
      </c>
      <c r="GA302" t="s">
        <v>371</v>
      </c>
      <c r="GB302" t="s">
        <v>371</v>
      </c>
      <c r="GC302" t="s">
        <v>371</v>
      </c>
      <c r="GD302" t="s">
        <v>371</v>
      </c>
      <c r="GF302" t="s">
        <v>371</v>
      </c>
      <c r="GG302" t="s">
        <v>371</v>
      </c>
      <c r="GH302" t="s">
        <v>371</v>
      </c>
      <c r="GI302" t="s">
        <v>371</v>
      </c>
      <c r="GJ302" t="s">
        <v>371</v>
      </c>
      <c r="GK302" t="s">
        <v>371</v>
      </c>
      <c r="GN302" t="s">
        <v>371</v>
      </c>
      <c r="GO302" t="s">
        <v>371</v>
      </c>
      <c r="GP302" t="s">
        <v>371</v>
      </c>
      <c r="GQ302" t="s">
        <v>371</v>
      </c>
      <c r="GR302" t="s">
        <v>371</v>
      </c>
      <c r="GS302" t="s">
        <v>371</v>
      </c>
      <c r="GT302" t="s">
        <v>371</v>
      </c>
      <c r="GU302" t="s">
        <v>371</v>
      </c>
      <c r="GV302" t="s">
        <v>371</v>
      </c>
      <c r="GW302" t="s">
        <v>371</v>
      </c>
      <c r="GX302" t="s">
        <v>371</v>
      </c>
      <c r="HA302" t="s">
        <v>375</v>
      </c>
    </row>
    <row r="303" spans="1:209" ht="14.25" customHeight="1" x14ac:dyDescent="0.25">
      <c r="A303" t="s">
        <v>570</v>
      </c>
      <c r="B303" t="s">
        <v>376</v>
      </c>
      <c r="C303">
        <v>1</v>
      </c>
      <c r="D303" t="s">
        <v>366</v>
      </c>
      <c r="E303" s="73"/>
      <c r="AA303" t="s">
        <v>377</v>
      </c>
      <c r="AB303" s="73">
        <v>46193</v>
      </c>
      <c r="AC303" t="s">
        <v>382</v>
      </c>
      <c r="AF303" t="s">
        <v>379</v>
      </c>
      <c r="AI303" t="s">
        <v>400</v>
      </c>
      <c r="AJ303">
        <v>0</v>
      </c>
      <c r="AK303" t="s">
        <v>372</v>
      </c>
      <c r="AP303" t="s">
        <v>374</v>
      </c>
      <c r="AQ303" s="73"/>
      <c r="BR303" s="73"/>
      <c r="CX303" s="73"/>
      <c r="EQ303" s="73"/>
    </row>
    <row r="304" spans="1:209" ht="14.25" customHeight="1" x14ac:dyDescent="0.25">
      <c r="A304" t="s">
        <v>570</v>
      </c>
      <c r="B304" t="s">
        <v>381</v>
      </c>
      <c r="C304">
        <v>1</v>
      </c>
      <c r="D304" t="s">
        <v>366</v>
      </c>
      <c r="E304" s="73"/>
      <c r="AB304" s="73"/>
      <c r="AQ304" s="73">
        <v>46193</v>
      </c>
      <c r="AR304" t="s">
        <v>378</v>
      </c>
      <c r="AU304" t="s">
        <v>383</v>
      </c>
      <c r="AV304" t="s">
        <v>384</v>
      </c>
      <c r="AW304" t="s">
        <v>384</v>
      </c>
      <c r="AX304" t="s">
        <v>383</v>
      </c>
      <c r="AY304" t="s">
        <v>384</v>
      </c>
      <c r="AZ304" t="s">
        <v>383</v>
      </c>
      <c r="BA304" t="s">
        <v>367</v>
      </c>
      <c r="BB304" t="s">
        <v>367</v>
      </c>
      <c r="BC304">
        <v>3</v>
      </c>
      <c r="BD304" t="s">
        <v>374</v>
      </c>
      <c r="BR304" s="73"/>
      <c r="CX304" s="73"/>
      <c r="EQ304" s="73"/>
    </row>
    <row r="305" spans="1:209" ht="14.25" customHeight="1" x14ac:dyDescent="0.25">
      <c r="A305" t="s">
        <v>571</v>
      </c>
      <c r="D305" t="s">
        <v>366</v>
      </c>
      <c r="E305" s="73">
        <v>46193</v>
      </c>
      <c r="F305" t="s">
        <v>367</v>
      </c>
      <c r="H305" t="s">
        <v>368</v>
      </c>
      <c r="I305" t="s">
        <v>368</v>
      </c>
      <c r="J305">
        <v>2006</v>
      </c>
      <c r="K305" t="s">
        <v>369</v>
      </c>
      <c r="L305" t="s">
        <v>370</v>
      </c>
      <c r="M305" t="s">
        <v>371</v>
      </c>
      <c r="N305" t="s">
        <v>371</v>
      </c>
      <c r="O305" t="s">
        <v>371</v>
      </c>
      <c r="P305" t="s">
        <v>371</v>
      </c>
      <c r="Q305" t="s">
        <v>371</v>
      </c>
      <c r="R305" t="s">
        <v>489</v>
      </c>
      <c r="S305" t="s">
        <v>372</v>
      </c>
      <c r="T305" t="s">
        <v>367</v>
      </c>
      <c r="U305" t="s">
        <v>367</v>
      </c>
      <c r="W305" t="s">
        <v>367</v>
      </c>
      <c r="X305" t="s">
        <v>373</v>
      </c>
      <c r="Y305" t="s">
        <v>367</v>
      </c>
      <c r="Z305" t="s">
        <v>374</v>
      </c>
      <c r="AB305" s="73"/>
      <c r="AQ305" s="73"/>
      <c r="BG305" t="s">
        <v>371</v>
      </c>
      <c r="BH305" t="s">
        <v>371</v>
      </c>
      <c r="BI305" t="s">
        <v>371</v>
      </c>
      <c r="BJ305" t="s">
        <v>371</v>
      </c>
      <c r="BK305" t="s">
        <v>371</v>
      </c>
      <c r="BL305" t="s">
        <v>371</v>
      </c>
      <c r="BM305" t="s">
        <v>371</v>
      </c>
      <c r="BN305" t="s">
        <v>371</v>
      </c>
      <c r="BO305" t="s">
        <v>371</v>
      </c>
      <c r="BQ305" t="s">
        <v>375</v>
      </c>
      <c r="BR305" s="73"/>
      <c r="CX305" s="73"/>
      <c r="EQ305" s="73"/>
      <c r="FT305">
        <v>0</v>
      </c>
      <c r="FZ305" t="s">
        <v>371</v>
      </c>
      <c r="GA305" t="s">
        <v>371</v>
      </c>
      <c r="GB305" t="s">
        <v>371</v>
      </c>
      <c r="GC305" t="s">
        <v>371</v>
      </c>
      <c r="GD305" t="s">
        <v>371</v>
      </c>
      <c r="GF305" t="s">
        <v>371</v>
      </c>
      <c r="GG305" t="s">
        <v>371</v>
      </c>
      <c r="GH305" t="s">
        <v>371</v>
      </c>
      <c r="GI305" t="s">
        <v>371</v>
      </c>
      <c r="GJ305" t="s">
        <v>371</v>
      </c>
      <c r="GK305" t="s">
        <v>371</v>
      </c>
      <c r="GN305" t="s">
        <v>371</v>
      </c>
      <c r="GO305" t="s">
        <v>371</v>
      </c>
      <c r="GP305" t="s">
        <v>371</v>
      </c>
      <c r="GQ305" t="s">
        <v>371</v>
      </c>
      <c r="GR305" t="s">
        <v>371</v>
      </c>
      <c r="GS305" t="s">
        <v>371</v>
      </c>
      <c r="GT305" t="s">
        <v>371</v>
      </c>
      <c r="GU305" t="s">
        <v>371</v>
      </c>
      <c r="GV305" t="s">
        <v>371</v>
      </c>
      <c r="GW305" t="s">
        <v>371</v>
      </c>
      <c r="GX305" t="s">
        <v>371</v>
      </c>
      <c r="HA305" t="s">
        <v>375</v>
      </c>
    </row>
    <row r="306" spans="1:209" ht="14.25" customHeight="1" x14ac:dyDescent="0.25">
      <c r="A306" t="s">
        <v>571</v>
      </c>
      <c r="B306" t="s">
        <v>376</v>
      </c>
      <c r="C306">
        <v>1</v>
      </c>
      <c r="D306" t="s">
        <v>366</v>
      </c>
      <c r="E306" s="73"/>
      <c r="AA306" t="s">
        <v>377</v>
      </c>
      <c r="AB306" s="73">
        <v>46193</v>
      </c>
      <c r="AC306" t="s">
        <v>382</v>
      </c>
      <c r="AF306" t="s">
        <v>379</v>
      </c>
      <c r="AI306" t="s">
        <v>400</v>
      </c>
      <c r="AJ306">
        <v>0</v>
      </c>
      <c r="AK306" t="s">
        <v>372</v>
      </c>
      <c r="AP306" t="s">
        <v>374</v>
      </c>
      <c r="AQ306" s="73"/>
      <c r="BR306" s="73"/>
      <c r="CX306" s="73"/>
      <c r="EQ306" s="73"/>
    </row>
    <row r="307" spans="1:209" ht="14.25" customHeight="1" x14ac:dyDescent="0.25">
      <c r="A307" t="s">
        <v>571</v>
      </c>
      <c r="B307" t="s">
        <v>381</v>
      </c>
      <c r="C307">
        <v>1</v>
      </c>
      <c r="D307" t="s">
        <v>366</v>
      </c>
      <c r="E307" s="73"/>
      <c r="AB307" s="73"/>
      <c r="AQ307" s="73">
        <v>46193</v>
      </c>
      <c r="AR307" t="s">
        <v>382</v>
      </c>
      <c r="AU307" t="s">
        <v>383</v>
      </c>
      <c r="AV307" t="s">
        <v>384</v>
      </c>
      <c r="AW307" t="s">
        <v>383</v>
      </c>
      <c r="AX307" t="s">
        <v>383</v>
      </c>
      <c r="AY307" t="s">
        <v>384</v>
      </c>
      <c r="AZ307" t="s">
        <v>384</v>
      </c>
      <c r="BA307" t="s">
        <v>367</v>
      </c>
      <c r="BB307" t="s">
        <v>367</v>
      </c>
      <c r="BC307">
        <v>3</v>
      </c>
      <c r="BD307" t="s">
        <v>374</v>
      </c>
      <c r="BR307" s="73"/>
      <c r="CX307" s="73"/>
      <c r="EQ307" s="73"/>
    </row>
    <row r="308" spans="1:209" ht="14.25" customHeight="1" x14ac:dyDescent="0.25">
      <c r="A308" t="s">
        <v>572</v>
      </c>
      <c r="D308" t="s">
        <v>366</v>
      </c>
      <c r="E308" s="73">
        <v>46193</v>
      </c>
      <c r="F308" t="s">
        <v>367</v>
      </c>
      <c r="H308" t="s">
        <v>403</v>
      </c>
      <c r="I308" t="s">
        <v>403</v>
      </c>
      <c r="J308">
        <v>1971</v>
      </c>
      <c r="K308" t="s">
        <v>369</v>
      </c>
      <c r="L308" t="s">
        <v>371</v>
      </c>
      <c r="M308" t="s">
        <v>371</v>
      </c>
      <c r="N308" t="s">
        <v>371</v>
      </c>
      <c r="O308" t="s">
        <v>371</v>
      </c>
      <c r="P308" t="s">
        <v>371</v>
      </c>
      <c r="Q308" t="s">
        <v>370</v>
      </c>
      <c r="R308" t="s">
        <v>372</v>
      </c>
      <c r="S308" t="s">
        <v>372</v>
      </c>
      <c r="T308" t="s">
        <v>372</v>
      </c>
      <c r="U308" t="s">
        <v>367</v>
      </c>
      <c r="W308" t="s">
        <v>367</v>
      </c>
      <c r="X308" t="s">
        <v>432</v>
      </c>
      <c r="Y308" t="s">
        <v>421</v>
      </c>
      <c r="Z308" t="s">
        <v>374</v>
      </c>
      <c r="AB308" s="73"/>
      <c r="AQ308" s="73"/>
      <c r="BG308" t="s">
        <v>371</v>
      </c>
      <c r="BH308" t="s">
        <v>371</v>
      </c>
      <c r="BI308" t="s">
        <v>371</v>
      </c>
      <c r="BJ308" t="s">
        <v>371</v>
      </c>
      <c r="BK308" t="s">
        <v>371</v>
      </c>
      <c r="BL308" t="s">
        <v>371</v>
      </c>
      <c r="BM308" t="s">
        <v>371</v>
      </c>
      <c r="BN308" t="s">
        <v>371</v>
      </c>
      <c r="BO308" t="s">
        <v>371</v>
      </c>
      <c r="BQ308" t="s">
        <v>375</v>
      </c>
      <c r="BR308" s="73"/>
      <c r="CX308" s="73"/>
      <c r="EQ308" s="73"/>
      <c r="FT308">
        <v>0</v>
      </c>
      <c r="FZ308" t="s">
        <v>371</v>
      </c>
      <c r="GA308" t="s">
        <v>371</v>
      </c>
      <c r="GB308" t="s">
        <v>371</v>
      </c>
      <c r="GC308" t="s">
        <v>371</v>
      </c>
      <c r="GD308" t="s">
        <v>371</v>
      </c>
      <c r="GF308" t="s">
        <v>371</v>
      </c>
      <c r="GG308" t="s">
        <v>371</v>
      </c>
      <c r="GH308" t="s">
        <v>371</v>
      </c>
      <c r="GI308" t="s">
        <v>371</v>
      </c>
      <c r="GJ308" t="s">
        <v>371</v>
      </c>
      <c r="GK308" t="s">
        <v>371</v>
      </c>
      <c r="GN308" t="s">
        <v>371</v>
      </c>
      <c r="GO308" t="s">
        <v>371</v>
      </c>
      <c r="GP308" t="s">
        <v>371</v>
      </c>
      <c r="GQ308" t="s">
        <v>371</v>
      </c>
      <c r="GR308" t="s">
        <v>371</v>
      </c>
      <c r="GS308" t="s">
        <v>371</v>
      </c>
      <c r="GT308" t="s">
        <v>371</v>
      </c>
      <c r="GU308" t="s">
        <v>371</v>
      </c>
      <c r="GV308" t="s">
        <v>371</v>
      </c>
      <c r="GW308" t="s">
        <v>371</v>
      </c>
      <c r="GX308" t="s">
        <v>371</v>
      </c>
      <c r="HA308" t="s">
        <v>375</v>
      </c>
    </row>
    <row r="309" spans="1:209" ht="14.25" customHeight="1" x14ac:dyDescent="0.25">
      <c r="A309" t="s">
        <v>572</v>
      </c>
      <c r="B309" t="s">
        <v>376</v>
      </c>
      <c r="C309">
        <v>1</v>
      </c>
      <c r="D309" t="s">
        <v>366</v>
      </c>
      <c r="E309" s="73"/>
      <c r="AA309" t="s">
        <v>377</v>
      </c>
      <c r="AB309" s="73">
        <v>46193</v>
      </c>
      <c r="AC309" t="s">
        <v>382</v>
      </c>
      <c r="AF309" t="s">
        <v>379</v>
      </c>
      <c r="AI309" t="s">
        <v>400</v>
      </c>
      <c r="AJ309">
        <v>0</v>
      </c>
      <c r="AK309" t="s">
        <v>372</v>
      </c>
      <c r="AP309" t="s">
        <v>374</v>
      </c>
      <c r="AQ309" s="73"/>
      <c r="BR309" s="73"/>
      <c r="CX309" s="73"/>
      <c r="EQ309" s="73"/>
    </row>
    <row r="310" spans="1:209" ht="14.25" customHeight="1" x14ac:dyDescent="0.25">
      <c r="A310" t="s">
        <v>572</v>
      </c>
      <c r="B310" t="s">
        <v>381</v>
      </c>
      <c r="C310">
        <v>1</v>
      </c>
      <c r="D310" t="s">
        <v>366</v>
      </c>
      <c r="E310" s="73"/>
      <c r="AB310" s="73"/>
      <c r="AQ310" s="73">
        <v>46193</v>
      </c>
      <c r="AR310" t="s">
        <v>378</v>
      </c>
      <c r="AU310" t="s">
        <v>385</v>
      </c>
      <c r="AV310" t="s">
        <v>385</v>
      </c>
      <c r="AW310" t="s">
        <v>384</v>
      </c>
      <c r="AX310" t="s">
        <v>385</v>
      </c>
      <c r="AY310" t="s">
        <v>383</v>
      </c>
      <c r="AZ310" t="s">
        <v>384</v>
      </c>
      <c r="BA310" t="s">
        <v>367</v>
      </c>
      <c r="BB310" t="s">
        <v>367</v>
      </c>
      <c r="BC310">
        <v>7</v>
      </c>
      <c r="BD310" t="s">
        <v>374</v>
      </c>
      <c r="BR310" s="73"/>
      <c r="CX310" s="73"/>
      <c r="EQ310" s="73"/>
    </row>
    <row r="311" spans="1:209" ht="14.25" customHeight="1" x14ac:dyDescent="0.25">
      <c r="A311" t="s">
        <v>573</v>
      </c>
      <c r="D311" t="s">
        <v>366</v>
      </c>
      <c r="E311" s="73">
        <v>46193</v>
      </c>
      <c r="F311" t="s">
        <v>367</v>
      </c>
      <c r="H311" t="s">
        <v>368</v>
      </c>
      <c r="I311" t="s">
        <v>403</v>
      </c>
      <c r="J311">
        <v>1976</v>
      </c>
      <c r="K311" t="s">
        <v>391</v>
      </c>
      <c r="L311" t="s">
        <v>371</v>
      </c>
      <c r="M311" t="s">
        <v>370</v>
      </c>
      <c r="N311" t="s">
        <v>371</v>
      </c>
      <c r="O311" t="s">
        <v>371</v>
      </c>
      <c r="P311" t="s">
        <v>371</v>
      </c>
      <c r="Q311" t="s">
        <v>371</v>
      </c>
      <c r="R311" t="s">
        <v>372</v>
      </c>
      <c r="S311" t="s">
        <v>372</v>
      </c>
      <c r="T311" t="s">
        <v>367</v>
      </c>
      <c r="U311" t="s">
        <v>367</v>
      </c>
      <c r="W311" t="s">
        <v>367</v>
      </c>
      <c r="X311" t="s">
        <v>392</v>
      </c>
      <c r="Y311" t="s">
        <v>396</v>
      </c>
      <c r="Z311" t="s">
        <v>374</v>
      </c>
      <c r="AB311" s="73"/>
      <c r="AQ311" s="73"/>
      <c r="BG311" t="s">
        <v>371</v>
      </c>
      <c r="BH311" t="s">
        <v>371</v>
      </c>
      <c r="BI311" t="s">
        <v>371</v>
      </c>
      <c r="BJ311" t="s">
        <v>371</v>
      </c>
      <c r="BK311" t="s">
        <v>371</v>
      </c>
      <c r="BL311" t="s">
        <v>371</v>
      </c>
      <c r="BM311" t="s">
        <v>371</v>
      </c>
      <c r="BN311" t="s">
        <v>371</v>
      </c>
      <c r="BO311" t="s">
        <v>371</v>
      </c>
      <c r="BQ311" t="s">
        <v>375</v>
      </c>
      <c r="BR311" s="73"/>
      <c r="CX311" s="73"/>
      <c r="EQ311" s="73"/>
      <c r="FT311">
        <v>0</v>
      </c>
      <c r="FZ311" t="s">
        <v>371</v>
      </c>
      <c r="GA311" t="s">
        <v>371</v>
      </c>
      <c r="GB311" t="s">
        <v>371</v>
      </c>
      <c r="GC311" t="s">
        <v>371</v>
      </c>
      <c r="GD311" t="s">
        <v>371</v>
      </c>
      <c r="GF311" t="s">
        <v>371</v>
      </c>
      <c r="GG311" t="s">
        <v>371</v>
      </c>
      <c r="GH311" t="s">
        <v>371</v>
      </c>
      <c r="GI311" t="s">
        <v>371</v>
      </c>
      <c r="GJ311" t="s">
        <v>371</v>
      </c>
      <c r="GK311" t="s">
        <v>371</v>
      </c>
      <c r="GN311" t="s">
        <v>371</v>
      </c>
      <c r="GO311" t="s">
        <v>371</v>
      </c>
      <c r="GP311" t="s">
        <v>371</v>
      </c>
      <c r="GQ311" t="s">
        <v>371</v>
      </c>
      <c r="GR311" t="s">
        <v>371</v>
      </c>
      <c r="GS311" t="s">
        <v>371</v>
      </c>
      <c r="GT311" t="s">
        <v>371</v>
      </c>
      <c r="GU311" t="s">
        <v>371</v>
      </c>
      <c r="GV311" t="s">
        <v>371</v>
      </c>
      <c r="GW311" t="s">
        <v>371</v>
      </c>
      <c r="GX311" t="s">
        <v>371</v>
      </c>
      <c r="HA311" t="s">
        <v>375</v>
      </c>
    </row>
    <row r="312" spans="1:209" ht="14.25" customHeight="1" x14ac:dyDescent="0.25">
      <c r="A312" t="s">
        <v>573</v>
      </c>
      <c r="B312" t="s">
        <v>376</v>
      </c>
      <c r="C312">
        <v>1</v>
      </c>
      <c r="D312" t="s">
        <v>366</v>
      </c>
      <c r="E312" s="73"/>
      <c r="AA312" t="s">
        <v>377</v>
      </c>
      <c r="AB312" s="73">
        <v>46193</v>
      </c>
      <c r="AC312" t="s">
        <v>382</v>
      </c>
      <c r="AF312" t="s">
        <v>379</v>
      </c>
      <c r="AI312" t="s">
        <v>400</v>
      </c>
      <c r="AJ312">
        <v>0</v>
      </c>
      <c r="AK312" t="s">
        <v>372</v>
      </c>
      <c r="AP312" t="s">
        <v>374</v>
      </c>
      <c r="AQ312" s="73"/>
      <c r="BR312" s="73"/>
      <c r="CX312" s="73"/>
      <c r="EQ312" s="73"/>
    </row>
    <row r="313" spans="1:209" ht="14.25" customHeight="1" x14ac:dyDescent="0.25">
      <c r="A313" t="s">
        <v>573</v>
      </c>
      <c r="B313" t="s">
        <v>381</v>
      </c>
      <c r="C313">
        <v>1</v>
      </c>
      <c r="D313" t="s">
        <v>366</v>
      </c>
      <c r="E313" s="73"/>
      <c r="AB313" s="73"/>
      <c r="AQ313" s="73">
        <v>46193</v>
      </c>
      <c r="AR313" t="s">
        <v>378</v>
      </c>
      <c r="AU313" t="s">
        <v>383</v>
      </c>
      <c r="AV313" t="s">
        <v>383</v>
      </c>
      <c r="AW313" t="s">
        <v>384</v>
      </c>
      <c r="AX313" t="s">
        <v>385</v>
      </c>
      <c r="AY313" t="s">
        <v>383</v>
      </c>
      <c r="AZ313" t="s">
        <v>384</v>
      </c>
      <c r="BA313" t="s">
        <v>367</v>
      </c>
      <c r="BB313" t="s">
        <v>367</v>
      </c>
      <c r="BC313">
        <v>5</v>
      </c>
      <c r="BD313" t="s">
        <v>374</v>
      </c>
      <c r="BR313" s="73"/>
      <c r="CX313" s="73"/>
      <c r="EQ313" s="73"/>
    </row>
    <row r="314" spans="1:209" ht="14.25" customHeight="1" x14ac:dyDescent="0.25">
      <c r="A314" t="s">
        <v>574</v>
      </c>
      <c r="D314" t="s">
        <v>366</v>
      </c>
      <c r="E314" s="73">
        <v>46193</v>
      </c>
      <c r="F314" t="s">
        <v>367</v>
      </c>
      <c r="H314" t="s">
        <v>403</v>
      </c>
      <c r="I314" t="s">
        <v>403</v>
      </c>
      <c r="J314">
        <v>2007</v>
      </c>
      <c r="K314" t="s">
        <v>448</v>
      </c>
      <c r="L314" t="s">
        <v>370</v>
      </c>
      <c r="M314" t="s">
        <v>371</v>
      </c>
      <c r="N314" t="s">
        <v>371</v>
      </c>
      <c r="O314" t="s">
        <v>371</v>
      </c>
      <c r="P314" t="s">
        <v>371</v>
      </c>
      <c r="Q314" t="s">
        <v>371</v>
      </c>
      <c r="R314" t="s">
        <v>372</v>
      </c>
      <c r="S314" t="s">
        <v>367</v>
      </c>
      <c r="T314" t="s">
        <v>372</v>
      </c>
      <c r="U314" t="s">
        <v>367</v>
      </c>
      <c r="W314" t="s">
        <v>367</v>
      </c>
      <c r="X314" t="s">
        <v>373</v>
      </c>
      <c r="Y314" t="s">
        <v>367</v>
      </c>
      <c r="Z314" t="s">
        <v>374</v>
      </c>
      <c r="AB314" s="73"/>
      <c r="AQ314" s="73"/>
      <c r="BG314" t="s">
        <v>371</v>
      </c>
      <c r="BH314" t="s">
        <v>371</v>
      </c>
      <c r="BI314" t="s">
        <v>371</v>
      </c>
      <c r="BJ314" t="s">
        <v>371</v>
      </c>
      <c r="BK314" t="s">
        <v>371</v>
      </c>
      <c r="BL314" t="s">
        <v>371</v>
      </c>
      <c r="BM314" t="s">
        <v>371</v>
      </c>
      <c r="BN314" t="s">
        <v>371</v>
      </c>
      <c r="BO314" t="s">
        <v>371</v>
      </c>
      <c r="BQ314" t="s">
        <v>375</v>
      </c>
      <c r="BR314" s="73"/>
      <c r="CX314" s="73"/>
      <c r="EQ314" s="73"/>
      <c r="FT314">
        <v>0</v>
      </c>
      <c r="FZ314" t="s">
        <v>371</v>
      </c>
      <c r="GA314" t="s">
        <v>371</v>
      </c>
      <c r="GB314" t="s">
        <v>371</v>
      </c>
      <c r="GC314" t="s">
        <v>371</v>
      </c>
      <c r="GD314" t="s">
        <v>371</v>
      </c>
      <c r="GF314" t="s">
        <v>371</v>
      </c>
      <c r="GG314" t="s">
        <v>371</v>
      </c>
      <c r="GH314" t="s">
        <v>371</v>
      </c>
      <c r="GI314" t="s">
        <v>371</v>
      </c>
      <c r="GJ314" t="s">
        <v>371</v>
      </c>
      <c r="GK314" t="s">
        <v>371</v>
      </c>
      <c r="GN314" t="s">
        <v>371</v>
      </c>
      <c r="GO314" t="s">
        <v>371</v>
      </c>
      <c r="GP314" t="s">
        <v>371</v>
      </c>
      <c r="GQ314" t="s">
        <v>371</v>
      </c>
      <c r="GR314" t="s">
        <v>371</v>
      </c>
      <c r="GS314" t="s">
        <v>371</v>
      </c>
      <c r="GT314" t="s">
        <v>371</v>
      </c>
      <c r="GU314" t="s">
        <v>371</v>
      </c>
      <c r="GV314" t="s">
        <v>371</v>
      </c>
      <c r="GW314" t="s">
        <v>371</v>
      </c>
      <c r="GX314" t="s">
        <v>371</v>
      </c>
      <c r="HA314" t="s">
        <v>375</v>
      </c>
    </row>
    <row r="315" spans="1:209" ht="14.25" customHeight="1" x14ac:dyDescent="0.25">
      <c r="A315" t="s">
        <v>574</v>
      </c>
      <c r="B315" t="s">
        <v>376</v>
      </c>
      <c r="C315">
        <v>1</v>
      </c>
      <c r="D315" t="s">
        <v>366</v>
      </c>
      <c r="E315" s="73"/>
      <c r="AA315" t="s">
        <v>377</v>
      </c>
      <c r="AB315" s="73">
        <v>46193</v>
      </c>
      <c r="AC315" t="s">
        <v>382</v>
      </c>
      <c r="AF315" t="s">
        <v>379</v>
      </c>
      <c r="AI315" t="s">
        <v>400</v>
      </c>
      <c r="AJ315">
        <v>0</v>
      </c>
      <c r="AK315" t="s">
        <v>372</v>
      </c>
      <c r="AP315" t="s">
        <v>374</v>
      </c>
      <c r="AQ315" s="73"/>
      <c r="BR315" s="73"/>
      <c r="CX315" s="73"/>
      <c r="EQ315" s="73"/>
    </row>
    <row r="316" spans="1:209" ht="14.25" customHeight="1" x14ac:dyDescent="0.25">
      <c r="A316" t="s">
        <v>574</v>
      </c>
      <c r="B316" t="s">
        <v>381</v>
      </c>
      <c r="C316">
        <v>1</v>
      </c>
      <c r="D316" t="s">
        <v>366</v>
      </c>
      <c r="E316" s="73"/>
      <c r="AB316" s="73"/>
      <c r="AQ316" s="73">
        <v>46193</v>
      </c>
      <c r="AR316" t="s">
        <v>397</v>
      </c>
      <c r="AU316" t="s">
        <v>383</v>
      </c>
      <c r="AV316" t="s">
        <v>383</v>
      </c>
      <c r="AW316" t="s">
        <v>384</v>
      </c>
      <c r="AX316" t="s">
        <v>385</v>
      </c>
      <c r="AY316" t="s">
        <v>383</v>
      </c>
      <c r="AZ316" t="s">
        <v>383</v>
      </c>
      <c r="BA316" t="s">
        <v>367</v>
      </c>
      <c r="BB316" t="s">
        <v>367</v>
      </c>
      <c r="BC316">
        <v>6</v>
      </c>
      <c r="BD316" t="s">
        <v>374</v>
      </c>
      <c r="BR316" s="73"/>
      <c r="CX316" s="73"/>
      <c r="EQ316" s="73"/>
    </row>
    <row r="317" spans="1:209" ht="14.25" customHeight="1" x14ac:dyDescent="0.25">
      <c r="A317" t="s">
        <v>575</v>
      </c>
      <c r="D317" t="s">
        <v>366</v>
      </c>
      <c r="E317" s="73">
        <v>46193</v>
      </c>
      <c r="F317" t="s">
        <v>367</v>
      </c>
      <c r="H317" t="s">
        <v>403</v>
      </c>
      <c r="I317" t="s">
        <v>403</v>
      </c>
      <c r="J317">
        <v>1988</v>
      </c>
      <c r="K317" t="s">
        <v>369</v>
      </c>
      <c r="L317" t="s">
        <v>371</v>
      </c>
      <c r="M317" t="s">
        <v>371</v>
      </c>
      <c r="N317" t="s">
        <v>371</v>
      </c>
      <c r="O317" t="s">
        <v>371</v>
      </c>
      <c r="P317" t="s">
        <v>371</v>
      </c>
      <c r="Q317" t="s">
        <v>370</v>
      </c>
      <c r="R317" t="s">
        <v>372</v>
      </c>
      <c r="S317" t="s">
        <v>372</v>
      </c>
      <c r="T317" t="s">
        <v>367</v>
      </c>
      <c r="U317" t="s">
        <v>367</v>
      </c>
      <c r="W317" t="s">
        <v>367</v>
      </c>
      <c r="X317" t="s">
        <v>373</v>
      </c>
      <c r="Y317" t="s">
        <v>421</v>
      </c>
      <c r="Z317" t="s">
        <v>374</v>
      </c>
      <c r="AB317" s="73"/>
      <c r="AQ317" s="73"/>
      <c r="BG317" t="s">
        <v>371</v>
      </c>
      <c r="BH317" t="s">
        <v>371</v>
      </c>
      <c r="BI317" t="s">
        <v>371</v>
      </c>
      <c r="BJ317" t="s">
        <v>371</v>
      </c>
      <c r="BK317" t="s">
        <v>371</v>
      </c>
      <c r="BL317" t="s">
        <v>371</v>
      </c>
      <c r="BM317" t="s">
        <v>371</v>
      </c>
      <c r="BN317" t="s">
        <v>371</v>
      </c>
      <c r="BO317" t="s">
        <v>371</v>
      </c>
      <c r="BQ317" t="s">
        <v>375</v>
      </c>
      <c r="BR317" s="73"/>
      <c r="CX317" s="73"/>
      <c r="EQ317" s="73"/>
      <c r="FT317">
        <v>0</v>
      </c>
      <c r="FZ317" t="s">
        <v>371</v>
      </c>
      <c r="GA317" t="s">
        <v>371</v>
      </c>
      <c r="GB317" t="s">
        <v>371</v>
      </c>
      <c r="GC317" t="s">
        <v>371</v>
      </c>
      <c r="GD317" t="s">
        <v>371</v>
      </c>
      <c r="GF317" t="s">
        <v>371</v>
      </c>
      <c r="GG317" t="s">
        <v>371</v>
      </c>
      <c r="GH317" t="s">
        <v>371</v>
      </c>
      <c r="GI317" t="s">
        <v>371</v>
      </c>
      <c r="GJ317" t="s">
        <v>371</v>
      </c>
      <c r="GK317" t="s">
        <v>371</v>
      </c>
      <c r="GN317" t="s">
        <v>371</v>
      </c>
      <c r="GO317" t="s">
        <v>371</v>
      </c>
      <c r="GP317" t="s">
        <v>371</v>
      </c>
      <c r="GQ317" t="s">
        <v>371</v>
      </c>
      <c r="GR317" t="s">
        <v>371</v>
      </c>
      <c r="GS317" t="s">
        <v>371</v>
      </c>
      <c r="GT317" t="s">
        <v>371</v>
      </c>
      <c r="GU317" t="s">
        <v>371</v>
      </c>
      <c r="GV317" t="s">
        <v>371</v>
      </c>
      <c r="GW317" t="s">
        <v>371</v>
      </c>
      <c r="GX317" t="s">
        <v>371</v>
      </c>
      <c r="HA317" t="s">
        <v>375</v>
      </c>
    </row>
    <row r="318" spans="1:209" ht="14.25" customHeight="1" x14ac:dyDescent="0.25">
      <c r="A318" t="s">
        <v>575</v>
      </c>
      <c r="B318" t="s">
        <v>376</v>
      </c>
      <c r="C318">
        <v>1</v>
      </c>
      <c r="D318" t="s">
        <v>366</v>
      </c>
      <c r="E318" s="73"/>
      <c r="AA318" t="s">
        <v>377</v>
      </c>
      <c r="AB318" s="73">
        <v>46193</v>
      </c>
      <c r="AC318" t="s">
        <v>382</v>
      </c>
      <c r="AF318" t="s">
        <v>379</v>
      </c>
      <c r="AI318" t="s">
        <v>400</v>
      </c>
      <c r="AJ318">
        <v>0</v>
      </c>
      <c r="AK318" t="s">
        <v>372</v>
      </c>
      <c r="AP318" t="s">
        <v>374</v>
      </c>
      <c r="AQ318" s="73"/>
      <c r="BR318" s="73"/>
      <c r="CX318" s="73"/>
      <c r="EQ318" s="73"/>
    </row>
    <row r="319" spans="1:209" ht="14.25" customHeight="1" x14ac:dyDescent="0.25">
      <c r="A319" t="s">
        <v>575</v>
      </c>
      <c r="B319" t="s">
        <v>381</v>
      </c>
      <c r="C319">
        <v>1</v>
      </c>
      <c r="D319" t="s">
        <v>366</v>
      </c>
      <c r="E319" s="73"/>
      <c r="AB319" s="73"/>
      <c r="AQ319" s="73">
        <v>46193</v>
      </c>
      <c r="AR319" t="s">
        <v>434</v>
      </c>
      <c r="AU319" t="s">
        <v>383</v>
      </c>
      <c r="AV319" t="s">
        <v>385</v>
      </c>
      <c r="AW319" t="s">
        <v>384</v>
      </c>
      <c r="AX319" t="s">
        <v>383</v>
      </c>
      <c r="AY319" t="s">
        <v>383</v>
      </c>
      <c r="AZ319" t="s">
        <v>384</v>
      </c>
      <c r="BA319" t="s">
        <v>367</v>
      </c>
      <c r="BB319" t="s">
        <v>367</v>
      </c>
      <c r="BC319">
        <v>5</v>
      </c>
      <c r="BD319" t="s">
        <v>374</v>
      </c>
      <c r="BR319" s="73"/>
      <c r="CX319" s="73"/>
      <c r="EQ319" s="73"/>
    </row>
    <row r="320" spans="1:209" ht="14.25" customHeight="1" x14ac:dyDescent="0.25">
      <c r="A320" t="s">
        <v>576</v>
      </c>
      <c r="D320" t="s">
        <v>366</v>
      </c>
      <c r="E320" s="73">
        <v>46193</v>
      </c>
      <c r="F320" t="s">
        <v>367</v>
      </c>
      <c r="H320" t="s">
        <v>403</v>
      </c>
      <c r="I320" t="s">
        <v>403</v>
      </c>
      <c r="J320">
        <v>1976</v>
      </c>
      <c r="K320" t="s">
        <v>391</v>
      </c>
      <c r="L320" t="s">
        <v>371</v>
      </c>
      <c r="M320" t="s">
        <v>371</v>
      </c>
      <c r="N320" t="s">
        <v>371</v>
      </c>
      <c r="O320" t="s">
        <v>371</v>
      </c>
      <c r="P320" t="s">
        <v>371</v>
      </c>
      <c r="Q320" t="s">
        <v>370</v>
      </c>
      <c r="R320" t="s">
        <v>372</v>
      </c>
      <c r="S320" t="s">
        <v>372</v>
      </c>
      <c r="T320" t="s">
        <v>372</v>
      </c>
      <c r="U320" t="s">
        <v>367</v>
      </c>
      <c r="W320" t="s">
        <v>367</v>
      </c>
      <c r="X320" t="s">
        <v>392</v>
      </c>
      <c r="Y320" t="s">
        <v>396</v>
      </c>
      <c r="Z320" t="s">
        <v>374</v>
      </c>
      <c r="AB320" s="73"/>
      <c r="AQ320" s="73"/>
      <c r="BG320" t="s">
        <v>371</v>
      </c>
      <c r="BH320" t="s">
        <v>371</v>
      </c>
      <c r="BI320" t="s">
        <v>371</v>
      </c>
      <c r="BJ320" t="s">
        <v>371</v>
      </c>
      <c r="BK320" t="s">
        <v>371</v>
      </c>
      <c r="BL320" t="s">
        <v>371</v>
      </c>
      <c r="BM320" t="s">
        <v>371</v>
      </c>
      <c r="BN320" t="s">
        <v>371</v>
      </c>
      <c r="BO320" t="s">
        <v>371</v>
      </c>
      <c r="BQ320" t="s">
        <v>375</v>
      </c>
      <c r="BR320" s="73"/>
      <c r="CX320" s="73"/>
      <c r="EQ320" s="73"/>
      <c r="FT320">
        <v>0</v>
      </c>
      <c r="FZ320" t="s">
        <v>371</v>
      </c>
      <c r="GA320" t="s">
        <v>371</v>
      </c>
      <c r="GB320" t="s">
        <v>371</v>
      </c>
      <c r="GC320" t="s">
        <v>371</v>
      </c>
      <c r="GD320" t="s">
        <v>371</v>
      </c>
      <c r="GF320" t="s">
        <v>371</v>
      </c>
      <c r="GG320" t="s">
        <v>371</v>
      </c>
      <c r="GH320" t="s">
        <v>371</v>
      </c>
      <c r="GI320" t="s">
        <v>371</v>
      </c>
      <c r="GJ320" t="s">
        <v>371</v>
      </c>
      <c r="GK320" t="s">
        <v>371</v>
      </c>
      <c r="GN320" t="s">
        <v>371</v>
      </c>
      <c r="GO320" t="s">
        <v>371</v>
      </c>
      <c r="GP320" t="s">
        <v>371</v>
      </c>
      <c r="GQ320" t="s">
        <v>371</v>
      </c>
      <c r="GR320" t="s">
        <v>371</v>
      </c>
      <c r="GS320" t="s">
        <v>371</v>
      </c>
      <c r="GT320" t="s">
        <v>371</v>
      </c>
      <c r="GU320" t="s">
        <v>371</v>
      </c>
      <c r="GV320" t="s">
        <v>371</v>
      </c>
      <c r="GW320" t="s">
        <v>371</v>
      </c>
      <c r="GX320" t="s">
        <v>371</v>
      </c>
      <c r="HA320" t="s">
        <v>375</v>
      </c>
    </row>
    <row r="321" spans="1:209" ht="14.25" customHeight="1" x14ac:dyDescent="0.25">
      <c r="A321" t="s">
        <v>576</v>
      </c>
      <c r="B321" t="s">
        <v>376</v>
      </c>
      <c r="C321">
        <v>1</v>
      </c>
      <c r="D321" t="s">
        <v>366</v>
      </c>
      <c r="E321" s="73"/>
      <c r="AA321" t="s">
        <v>377</v>
      </c>
      <c r="AB321" s="73">
        <v>46193</v>
      </c>
      <c r="AC321" t="s">
        <v>382</v>
      </c>
      <c r="AF321" t="s">
        <v>379</v>
      </c>
      <c r="AI321" t="s">
        <v>400</v>
      </c>
      <c r="AJ321">
        <v>0</v>
      </c>
      <c r="AK321" t="s">
        <v>372</v>
      </c>
      <c r="AP321" t="s">
        <v>374</v>
      </c>
      <c r="AQ321" s="73"/>
      <c r="BR321" s="73"/>
      <c r="CX321" s="73"/>
      <c r="EQ321" s="73"/>
    </row>
    <row r="322" spans="1:209" ht="14.25" customHeight="1" x14ac:dyDescent="0.25">
      <c r="A322" t="s">
        <v>576</v>
      </c>
      <c r="B322" t="s">
        <v>381</v>
      </c>
      <c r="C322">
        <v>1</v>
      </c>
      <c r="D322" t="s">
        <v>366</v>
      </c>
      <c r="E322" s="73"/>
      <c r="AB322" s="73"/>
      <c r="AQ322" s="73">
        <v>46193</v>
      </c>
      <c r="AR322" t="s">
        <v>434</v>
      </c>
      <c r="AU322" t="s">
        <v>383</v>
      </c>
      <c r="AV322" t="s">
        <v>383</v>
      </c>
      <c r="AW322" t="s">
        <v>384</v>
      </c>
      <c r="AX322" t="s">
        <v>385</v>
      </c>
      <c r="AY322" t="s">
        <v>383</v>
      </c>
      <c r="AZ322" t="s">
        <v>384</v>
      </c>
      <c r="BA322" t="s">
        <v>367</v>
      </c>
      <c r="BB322" t="s">
        <v>367</v>
      </c>
      <c r="BC322">
        <v>5</v>
      </c>
      <c r="BD322" t="s">
        <v>374</v>
      </c>
      <c r="BR322" s="73"/>
      <c r="CX322" s="73"/>
      <c r="EQ322" s="73"/>
    </row>
    <row r="323" spans="1:209" ht="14.25" customHeight="1" x14ac:dyDescent="0.25">
      <c r="A323" t="s">
        <v>577</v>
      </c>
      <c r="D323" t="s">
        <v>366</v>
      </c>
      <c r="E323" s="73">
        <v>46193</v>
      </c>
      <c r="F323" t="s">
        <v>372</v>
      </c>
      <c r="G323" t="s">
        <v>578</v>
      </c>
      <c r="H323" t="s">
        <v>368</v>
      </c>
      <c r="I323" t="s">
        <v>368</v>
      </c>
      <c r="J323">
        <v>1980</v>
      </c>
      <c r="K323" t="s">
        <v>391</v>
      </c>
      <c r="L323" t="s">
        <v>371</v>
      </c>
      <c r="M323" t="s">
        <v>370</v>
      </c>
      <c r="N323" t="s">
        <v>371</v>
      </c>
      <c r="O323" t="s">
        <v>371</v>
      </c>
      <c r="P323" t="s">
        <v>371</v>
      </c>
      <c r="Q323" t="s">
        <v>371</v>
      </c>
      <c r="R323" t="s">
        <v>372</v>
      </c>
      <c r="S323" t="s">
        <v>372</v>
      </c>
      <c r="T323" t="s">
        <v>372</v>
      </c>
      <c r="U323" t="s">
        <v>367</v>
      </c>
      <c r="W323" t="s">
        <v>367</v>
      </c>
      <c r="X323" t="s">
        <v>399</v>
      </c>
      <c r="Y323" t="s">
        <v>396</v>
      </c>
      <c r="Z323" t="s">
        <v>374</v>
      </c>
      <c r="AB323" s="73"/>
      <c r="AQ323" s="73"/>
      <c r="BG323" t="s">
        <v>371</v>
      </c>
      <c r="BH323" t="s">
        <v>371</v>
      </c>
      <c r="BI323" t="s">
        <v>371</v>
      </c>
      <c r="BJ323" t="s">
        <v>371</v>
      </c>
      <c r="BK323" t="s">
        <v>371</v>
      </c>
      <c r="BL323" t="s">
        <v>371</v>
      </c>
      <c r="BM323" t="s">
        <v>371</v>
      </c>
      <c r="BN323" t="s">
        <v>371</v>
      </c>
      <c r="BO323" t="s">
        <v>371</v>
      </c>
      <c r="BQ323" t="s">
        <v>375</v>
      </c>
      <c r="BR323" s="73"/>
      <c r="CX323" s="73"/>
      <c r="EQ323" s="73"/>
      <c r="FT323">
        <v>0</v>
      </c>
      <c r="FZ323" t="s">
        <v>371</v>
      </c>
      <c r="GA323" t="s">
        <v>371</v>
      </c>
      <c r="GB323" t="s">
        <v>371</v>
      </c>
      <c r="GC323" t="s">
        <v>371</v>
      </c>
      <c r="GD323" t="s">
        <v>371</v>
      </c>
      <c r="GF323" t="s">
        <v>371</v>
      </c>
      <c r="GG323" t="s">
        <v>371</v>
      </c>
      <c r="GH323" t="s">
        <v>371</v>
      </c>
      <c r="GI323" t="s">
        <v>371</v>
      </c>
      <c r="GJ323" t="s">
        <v>371</v>
      </c>
      <c r="GK323" t="s">
        <v>371</v>
      </c>
      <c r="GN323" t="s">
        <v>371</v>
      </c>
      <c r="GO323" t="s">
        <v>371</v>
      </c>
      <c r="GP323" t="s">
        <v>371</v>
      </c>
      <c r="GQ323" t="s">
        <v>371</v>
      </c>
      <c r="GR323" t="s">
        <v>371</v>
      </c>
      <c r="GS323" t="s">
        <v>371</v>
      </c>
      <c r="GT323" t="s">
        <v>371</v>
      </c>
      <c r="GU323" t="s">
        <v>371</v>
      </c>
      <c r="GV323" t="s">
        <v>371</v>
      </c>
      <c r="GW323" t="s">
        <v>371</v>
      </c>
      <c r="GX323" t="s">
        <v>371</v>
      </c>
      <c r="HA323" t="s">
        <v>375</v>
      </c>
    </row>
    <row r="324" spans="1:209" ht="14.25" customHeight="1" x14ac:dyDescent="0.25">
      <c r="A324" t="s">
        <v>577</v>
      </c>
      <c r="B324" t="s">
        <v>376</v>
      </c>
      <c r="C324">
        <v>1</v>
      </c>
      <c r="D324" t="s">
        <v>366</v>
      </c>
      <c r="E324" s="73"/>
      <c r="AA324" t="s">
        <v>377</v>
      </c>
      <c r="AB324" s="73">
        <v>46193</v>
      </c>
      <c r="AC324" t="s">
        <v>382</v>
      </c>
      <c r="AF324" t="s">
        <v>379</v>
      </c>
      <c r="AI324" t="s">
        <v>400</v>
      </c>
      <c r="AJ324">
        <v>0</v>
      </c>
      <c r="AK324" t="s">
        <v>372</v>
      </c>
      <c r="AP324" t="s">
        <v>374</v>
      </c>
      <c r="AQ324" s="73"/>
      <c r="BR324" s="73"/>
      <c r="CX324" s="73"/>
      <c r="EQ324" s="73"/>
    </row>
    <row r="325" spans="1:209" ht="14.25" customHeight="1" x14ac:dyDescent="0.25">
      <c r="A325" t="s">
        <v>577</v>
      </c>
      <c r="B325" t="s">
        <v>381</v>
      </c>
      <c r="C325">
        <v>1</v>
      </c>
      <c r="D325" t="s">
        <v>366</v>
      </c>
      <c r="E325" s="73"/>
      <c r="AB325" s="73"/>
      <c r="AQ325" s="73">
        <v>46193</v>
      </c>
      <c r="AR325" t="s">
        <v>397</v>
      </c>
      <c r="AU325" t="s">
        <v>383</v>
      </c>
      <c r="AV325" t="s">
        <v>384</v>
      </c>
      <c r="AW325" t="s">
        <v>384</v>
      </c>
      <c r="AX325" t="s">
        <v>383</v>
      </c>
      <c r="AY325" t="s">
        <v>383</v>
      </c>
      <c r="AZ325" t="s">
        <v>383</v>
      </c>
      <c r="BA325" t="s">
        <v>367</v>
      </c>
      <c r="BB325" t="s">
        <v>372</v>
      </c>
      <c r="BC325">
        <v>6</v>
      </c>
      <c r="BD325" t="s">
        <v>374</v>
      </c>
      <c r="BR325" s="73"/>
      <c r="CX325" s="73"/>
      <c r="EQ325" s="73"/>
    </row>
    <row r="326" spans="1:209" ht="14.25" customHeight="1" x14ac:dyDescent="0.25">
      <c r="A326" t="s">
        <v>579</v>
      </c>
      <c r="D326" t="s">
        <v>366</v>
      </c>
      <c r="E326" s="73">
        <v>46193</v>
      </c>
      <c r="F326" t="s">
        <v>367</v>
      </c>
      <c r="H326" t="s">
        <v>403</v>
      </c>
      <c r="I326" t="s">
        <v>403</v>
      </c>
      <c r="J326">
        <v>1980</v>
      </c>
      <c r="K326" t="s">
        <v>391</v>
      </c>
      <c r="L326" t="s">
        <v>371</v>
      </c>
      <c r="M326" t="s">
        <v>371</v>
      </c>
      <c r="N326" t="s">
        <v>371</v>
      </c>
      <c r="O326" t="s">
        <v>371</v>
      </c>
      <c r="P326" t="s">
        <v>371</v>
      </c>
      <c r="Q326" t="s">
        <v>370</v>
      </c>
      <c r="R326" t="s">
        <v>372</v>
      </c>
      <c r="S326" t="s">
        <v>372</v>
      </c>
      <c r="T326" t="s">
        <v>372</v>
      </c>
      <c r="U326" t="s">
        <v>367</v>
      </c>
      <c r="W326" t="s">
        <v>367</v>
      </c>
      <c r="X326" t="s">
        <v>392</v>
      </c>
      <c r="Y326" t="s">
        <v>396</v>
      </c>
      <c r="Z326" t="s">
        <v>374</v>
      </c>
      <c r="AB326" s="73"/>
      <c r="AQ326" s="73"/>
      <c r="BG326" t="s">
        <v>371</v>
      </c>
      <c r="BH326" t="s">
        <v>371</v>
      </c>
      <c r="BI326" t="s">
        <v>371</v>
      </c>
      <c r="BJ326" t="s">
        <v>371</v>
      </c>
      <c r="BK326" t="s">
        <v>371</v>
      </c>
      <c r="BL326" t="s">
        <v>371</v>
      </c>
      <c r="BM326" t="s">
        <v>371</v>
      </c>
      <c r="BN326" t="s">
        <v>371</v>
      </c>
      <c r="BO326" t="s">
        <v>371</v>
      </c>
      <c r="BQ326" t="s">
        <v>375</v>
      </c>
      <c r="BR326" s="73"/>
      <c r="CX326" s="73"/>
      <c r="EQ326" s="73"/>
      <c r="FT326">
        <v>0</v>
      </c>
      <c r="FZ326" t="s">
        <v>371</v>
      </c>
      <c r="GA326" t="s">
        <v>371</v>
      </c>
      <c r="GB326" t="s">
        <v>371</v>
      </c>
      <c r="GC326" t="s">
        <v>371</v>
      </c>
      <c r="GD326" t="s">
        <v>371</v>
      </c>
      <c r="GF326" t="s">
        <v>371</v>
      </c>
      <c r="GG326" t="s">
        <v>371</v>
      </c>
      <c r="GH326" t="s">
        <v>371</v>
      </c>
      <c r="GI326" t="s">
        <v>371</v>
      </c>
      <c r="GJ326" t="s">
        <v>371</v>
      </c>
      <c r="GK326" t="s">
        <v>371</v>
      </c>
      <c r="GN326" t="s">
        <v>371</v>
      </c>
      <c r="GO326" t="s">
        <v>371</v>
      </c>
      <c r="GP326" t="s">
        <v>371</v>
      </c>
      <c r="GQ326" t="s">
        <v>371</v>
      </c>
      <c r="GR326" t="s">
        <v>371</v>
      </c>
      <c r="GS326" t="s">
        <v>371</v>
      </c>
      <c r="GT326" t="s">
        <v>371</v>
      </c>
      <c r="GU326" t="s">
        <v>371</v>
      </c>
      <c r="GV326" t="s">
        <v>371</v>
      </c>
      <c r="GW326" t="s">
        <v>371</v>
      </c>
      <c r="GX326" t="s">
        <v>371</v>
      </c>
      <c r="HA326" t="s">
        <v>375</v>
      </c>
    </row>
    <row r="327" spans="1:209" ht="14.25" customHeight="1" x14ac:dyDescent="0.25">
      <c r="A327" t="s">
        <v>579</v>
      </c>
      <c r="B327" t="s">
        <v>376</v>
      </c>
      <c r="C327">
        <v>1</v>
      </c>
      <c r="D327" t="s">
        <v>366</v>
      </c>
      <c r="E327" s="73"/>
      <c r="AA327" t="s">
        <v>377</v>
      </c>
      <c r="AB327" s="73">
        <v>46193</v>
      </c>
      <c r="AC327" t="s">
        <v>382</v>
      </c>
      <c r="AF327" t="s">
        <v>379</v>
      </c>
      <c r="AI327" t="s">
        <v>400</v>
      </c>
      <c r="AJ327">
        <v>0</v>
      </c>
      <c r="AK327" t="s">
        <v>372</v>
      </c>
      <c r="AP327" t="s">
        <v>374</v>
      </c>
      <c r="AQ327" s="73"/>
      <c r="BR327" s="73"/>
      <c r="CX327" s="73"/>
      <c r="EQ327" s="73"/>
    </row>
    <row r="328" spans="1:209" ht="14.25" customHeight="1" x14ac:dyDescent="0.25">
      <c r="A328" t="s">
        <v>579</v>
      </c>
      <c r="B328" t="s">
        <v>381</v>
      </c>
      <c r="C328">
        <v>1</v>
      </c>
      <c r="D328" t="s">
        <v>366</v>
      </c>
      <c r="E328" s="73"/>
      <c r="AB328" s="73"/>
      <c r="AQ328" s="73">
        <v>46193</v>
      </c>
      <c r="AR328" t="s">
        <v>378</v>
      </c>
      <c r="AU328" t="s">
        <v>383</v>
      </c>
      <c r="AV328" t="s">
        <v>383</v>
      </c>
      <c r="AW328" t="s">
        <v>384</v>
      </c>
      <c r="AX328" t="s">
        <v>385</v>
      </c>
      <c r="AY328" t="s">
        <v>383</v>
      </c>
      <c r="AZ328" t="s">
        <v>384</v>
      </c>
      <c r="BA328" t="s">
        <v>367</v>
      </c>
      <c r="BB328" t="s">
        <v>367</v>
      </c>
      <c r="BC328">
        <v>5</v>
      </c>
      <c r="BD328" t="s">
        <v>374</v>
      </c>
      <c r="BR328" s="73"/>
      <c r="CX328" s="73"/>
      <c r="EQ328" s="73"/>
    </row>
    <row r="329" spans="1:209" ht="14.25" customHeight="1" x14ac:dyDescent="0.25">
      <c r="A329" t="s">
        <v>580</v>
      </c>
      <c r="D329" t="s">
        <v>366</v>
      </c>
      <c r="E329" s="73">
        <v>46194</v>
      </c>
      <c r="F329" t="s">
        <v>367</v>
      </c>
      <c r="H329" t="s">
        <v>403</v>
      </c>
      <c r="I329" t="s">
        <v>403</v>
      </c>
      <c r="J329">
        <v>1960</v>
      </c>
      <c r="K329" t="s">
        <v>391</v>
      </c>
      <c r="L329" t="s">
        <v>371</v>
      </c>
      <c r="M329" t="s">
        <v>371</v>
      </c>
      <c r="N329" t="s">
        <v>371</v>
      </c>
      <c r="O329" t="s">
        <v>371</v>
      </c>
      <c r="P329" t="s">
        <v>371</v>
      </c>
      <c r="Q329" t="s">
        <v>370</v>
      </c>
      <c r="R329" t="s">
        <v>372</v>
      </c>
      <c r="S329" t="s">
        <v>372</v>
      </c>
      <c r="T329" t="s">
        <v>372</v>
      </c>
      <c r="U329" t="s">
        <v>367</v>
      </c>
      <c r="W329" t="s">
        <v>367</v>
      </c>
      <c r="X329" t="s">
        <v>494</v>
      </c>
      <c r="Y329" t="s">
        <v>421</v>
      </c>
      <c r="Z329" t="s">
        <v>374</v>
      </c>
      <c r="AB329" s="73"/>
      <c r="AQ329" s="73"/>
      <c r="BG329" t="s">
        <v>371</v>
      </c>
      <c r="BH329" t="s">
        <v>371</v>
      </c>
      <c r="BI329" t="s">
        <v>371</v>
      </c>
      <c r="BJ329" t="s">
        <v>371</v>
      </c>
      <c r="BK329" t="s">
        <v>371</v>
      </c>
      <c r="BL329" t="s">
        <v>371</v>
      </c>
      <c r="BM329" t="s">
        <v>371</v>
      </c>
      <c r="BN329" t="s">
        <v>371</v>
      </c>
      <c r="BO329" t="s">
        <v>371</v>
      </c>
      <c r="BQ329" t="s">
        <v>375</v>
      </c>
      <c r="BR329" s="73"/>
      <c r="CX329" s="73"/>
      <c r="EQ329" s="73"/>
      <c r="FT329">
        <v>0</v>
      </c>
      <c r="FZ329" t="s">
        <v>371</v>
      </c>
      <c r="GA329" t="s">
        <v>371</v>
      </c>
      <c r="GB329" t="s">
        <v>371</v>
      </c>
      <c r="GC329" t="s">
        <v>371</v>
      </c>
      <c r="GD329" t="s">
        <v>371</v>
      </c>
      <c r="GF329" t="s">
        <v>371</v>
      </c>
      <c r="GG329" t="s">
        <v>371</v>
      </c>
      <c r="GH329" t="s">
        <v>371</v>
      </c>
      <c r="GI329" t="s">
        <v>371</v>
      </c>
      <c r="GJ329" t="s">
        <v>371</v>
      </c>
      <c r="GK329" t="s">
        <v>371</v>
      </c>
      <c r="GN329" t="s">
        <v>371</v>
      </c>
      <c r="GO329" t="s">
        <v>371</v>
      </c>
      <c r="GP329" t="s">
        <v>371</v>
      </c>
      <c r="GQ329" t="s">
        <v>371</v>
      </c>
      <c r="GR329" t="s">
        <v>371</v>
      </c>
      <c r="GS329" t="s">
        <v>371</v>
      </c>
      <c r="GT329" t="s">
        <v>371</v>
      </c>
      <c r="GU329" t="s">
        <v>371</v>
      </c>
      <c r="GV329" t="s">
        <v>371</v>
      </c>
      <c r="GW329" t="s">
        <v>371</v>
      </c>
      <c r="GX329" t="s">
        <v>371</v>
      </c>
      <c r="HA329" t="s">
        <v>375</v>
      </c>
    </row>
    <row r="330" spans="1:209" ht="14.25" customHeight="1" x14ac:dyDescent="0.25">
      <c r="A330" t="s">
        <v>580</v>
      </c>
      <c r="B330" t="s">
        <v>376</v>
      </c>
      <c r="C330">
        <v>1</v>
      </c>
      <c r="D330" t="s">
        <v>366</v>
      </c>
      <c r="E330" s="73"/>
      <c r="AA330" t="s">
        <v>377</v>
      </c>
      <c r="AB330" s="73">
        <v>46194</v>
      </c>
      <c r="AC330" t="s">
        <v>382</v>
      </c>
      <c r="AF330" t="s">
        <v>379</v>
      </c>
      <c r="AI330" t="s">
        <v>380</v>
      </c>
      <c r="AJ330">
        <v>0</v>
      </c>
      <c r="AK330" t="s">
        <v>367</v>
      </c>
      <c r="AP330" t="s">
        <v>374</v>
      </c>
      <c r="AQ330" s="73"/>
      <c r="BR330" s="73"/>
      <c r="CX330" s="73"/>
      <c r="EQ330" s="73"/>
    </row>
    <row r="331" spans="1:209" ht="14.25" customHeight="1" x14ac:dyDescent="0.25">
      <c r="A331" t="s">
        <v>580</v>
      </c>
      <c r="B331" t="s">
        <v>381</v>
      </c>
      <c r="C331">
        <v>1</v>
      </c>
      <c r="D331" t="s">
        <v>366</v>
      </c>
      <c r="E331" s="73"/>
      <c r="AB331" s="73"/>
      <c r="AQ331" s="73">
        <v>46194</v>
      </c>
      <c r="AR331" t="s">
        <v>378</v>
      </c>
      <c r="AU331" t="s">
        <v>383</v>
      </c>
      <c r="AV331" t="s">
        <v>384</v>
      </c>
      <c r="AW331" t="s">
        <v>384</v>
      </c>
      <c r="AX331" t="s">
        <v>383</v>
      </c>
      <c r="AY331" t="s">
        <v>383</v>
      </c>
      <c r="AZ331" t="s">
        <v>384</v>
      </c>
      <c r="BA331" t="s">
        <v>367</v>
      </c>
      <c r="BB331" t="s">
        <v>367</v>
      </c>
      <c r="BC331">
        <v>3</v>
      </c>
      <c r="BD331" t="s">
        <v>374</v>
      </c>
      <c r="BR331" s="73"/>
      <c r="CX331" s="73"/>
      <c r="EQ331" s="73"/>
    </row>
    <row r="332" spans="1:209" ht="14.25" customHeight="1" x14ac:dyDescent="0.25">
      <c r="A332" t="s">
        <v>581</v>
      </c>
      <c r="D332" t="s">
        <v>366</v>
      </c>
      <c r="E332" s="73">
        <v>46194</v>
      </c>
      <c r="F332" t="s">
        <v>367</v>
      </c>
      <c r="H332" t="s">
        <v>403</v>
      </c>
      <c r="I332" t="s">
        <v>403</v>
      </c>
      <c r="J332">
        <v>1986</v>
      </c>
      <c r="K332" t="s">
        <v>448</v>
      </c>
      <c r="L332" t="s">
        <v>370</v>
      </c>
      <c r="M332" t="s">
        <v>371</v>
      </c>
      <c r="N332" t="s">
        <v>371</v>
      </c>
      <c r="O332" t="s">
        <v>371</v>
      </c>
      <c r="P332" t="s">
        <v>371</v>
      </c>
      <c r="Q332" t="s">
        <v>371</v>
      </c>
      <c r="R332" t="s">
        <v>372</v>
      </c>
      <c r="S332" t="s">
        <v>372</v>
      </c>
      <c r="T332" t="s">
        <v>372</v>
      </c>
      <c r="U332" t="s">
        <v>367</v>
      </c>
      <c r="W332" t="s">
        <v>367</v>
      </c>
      <c r="X332" t="s">
        <v>392</v>
      </c>
      <c r="Y332" t="s">
        <v>396</v>
      </c>
      <c r="Z332" t="s">
        <v>374</v>
      </c>
      <c r="AB332" s="73"/>
      <c r="AQ332" s="73"/>
      <c r="BG332" t="s">
        <v>371</v>
      </c>
      <c r="BH332" t="s">
        <v>371</v>
      </c>
      <c r="BI332" t="s">
        <v>371</v>
      </c>
      <c r="BJ332" t="s">
        <v>371</v>
      </c>
      <c r="BK332" t="s">
        <v>371</v>
      </c>
      <c r="BL332" t="s">
        <v>371</v>
      </c>
      <c r="BM332" t="s">
        <v>371</v>
      </c>
      <c r="BN332" t="s">
        <v>371</v>
      </c>
      <c r="BO332" t="s">
        <v>371</v>
      </c>
      <c r="BQ332" t="s">
        <v>375</v>
      </c>
      <c r="BR332" s="73"/>
      <c r="CX332" s="73"/>
      <c r="EQ332" s="73"/>
      <c r="FT332">
        <v>0</v>
      </c>
      <c r="FZ332" t="s">
        <v>371</v>
      </c>
      <c r="GA332" t="s">
        <v>371</v>
      </c>
      <c r="GB332" t="s">
        <v>371</v>
      </c>
      <c r="GC332" t="s">
        <v>371</v>
      </c>
      <c r="GD332" t="s">
        <v>371</v>
      </c>
      <c r="GF332" t="s">
        <v>371</v>
      </c>
      <c r="GG332" t="s">
        <v>371</v>
      </c>
      <c r="GH332" t="s">
        <v>371</v>
      </c>
      <c r="GI332" t="s">
        <v>371</v>
      </c>
      <c r="GJ332" t="s">
        <v>371</v>
      </c>
      <c r="GK332" t="s">
        <v>371</v>
      </c>
      <c r="GN332" t="s">
        <v>371</v>
      </c>
      <c r="GO332" t="s">
        <v>371</v>
      </c>
      <c r="GP332" t="s">
        <v>371</v>
      </c>
      <c r="GQ332" t="s">
        <v>371</v>
      </c>
      <c r="GR332" t="s">
        <v>371</v>
      </c>
      <c r="GS332" t="s">
        <v>371</v>
      </c>
      <c r="GT332" t="s">
        <v>371</v>
      </c>
      <c r="GU332" t="s">
        <v>371</v>
      </c>
      <c r="GV332" t="s">
        <v>371</v>
      </c>
      <c r="GW332" t="s">
        <v>371</v>
      </c>
      <c r="GX332" t="s">
        <v>371</v>
      </c>
      <c r="HA332" t="s">
        <v>375</v>
      </c>
    </row>
    <row r="333" spans="1:209" ht="14.25" customHeight="1" x14ac:dyDescent="0.25">
      <c r="A333" t="s">
        <v>581</v>
      </c>
      <c r="B333" t="s">
        <v>376</v>
      </c>
      <c r="C333">
        <v>1</v>
      </c>
      <c r="D333" t="s">
        <v>366</v>
      </c>
      <c r="E333" s="73"/>
      <c r="AA333" t="s">
        <v>377</v>
      </c>
      <c r="AB333" s="73">
        <v>46194</v>
      </c>
      <c r="AC333" t="s">
        <v>382</v>
      </c>
      <c r="AF333" t="s">
        <v>379</v>
      </c>
      <c r="AI333" t="s">
        <v>380</v>
      </c>
      <c r="AJ333">
        <v>0</v>
      </c>
      <c r="AK333" t="s">
        <v>367</v>
      </c>
      <c r="AP333" t="s">
        <v>374</v>
      </c>
      <c r="AQ333" s="73"/>
      <c r="BR333" s="73"/>
      <c r="CX333" s="73"/>
      <c r="EQ333" s="73"/>
    </row>
    <row r="334" spans="1:209" ht="14.25" customHeight="1" x14ac:dyDescent="0.25">
      <c r="A334" t="s">
        <v>582</v>
      </c>
      <c r="D334" t="s">
        <v>366</v>
      </c>
      <c r="E334" s="73">
        <v>46194</v>
      </c>
      <c r="F334" t="s">
        <v>367</v>
      </c>
      <c r="H334" t="s">
        <v>403</v>
      </c>
      <c r="I334" t="s">
        <v>403</v>
      </c>
      <c r="J334">
        <v>1973</v>
      </c>
      <c r="K334" t="s">
        <v>448</v>
      </c>
      <c r="L334" t="s">
        <v>370</v>
      </c>
      <c r="M334" t="s">
        <v>371</v>
      </c>
      <c r="N334" t="s">
        <v>371</v>
      </c>
      <c r="O334" t="s">
        <v>371</v>
      </c>
      <c r="P334" t="s">
        <v>371</v>
      </c>
      <c r="Q334" t="s">
        <v>371</v>
      </c>
      <c r="R334" t="s">
        <v>372</v>
      </c>
      <c r="S334" t="s">
        <v>372</v>
      </c>
      <c r="T334" t="s">
        <v>372</v>
      </c>
      <c r="U334" t="s">
        <v>367</v>
      </c>
      <c r="W334" t="s">
        <v>367</v>
      </c>
      <c r="X334" t="s">
        <v>399</v>
      </c>
      <c r="Y334" t="s">
        <v>421</v>
      </c>
      <c r="Z334" t="s">
        <v>374</v>
      </c>
      <c r="AB334" s="73"/>
      <c r="AQ334" s="73"/>
      <c r="BG334" t="s">
        <v>371</v>
      </c>
      <c r="BH334" t="s">
        <v>371</v>
      </c>
      <c r="BI334" t="s">
        <v>371</v>
      </c>
      <c r="BJ334" t="s">
        <v>371</v>
      </c>
      <c r="BK334" t="s">
        <v>371</v>
      </c>
      <c r="BL334" t="s">
        <v>371</v>
      </c>
      <c r="BM334" t="s">
        <v>371</v>
      </c>
      <c r="BN334" t="s">
        <v>371</v>
      </c>
      <c r="BO334" t="s">
        <v>371</v>
      </c>
      <c r="BQ334" t="s">
        <v>375</v>
      </c>
      <c r="BR334" s="73"/>
      <c r="CX334" s="73"/>
      <c r="EQ334" s="73"/>
      <c r="FT334">
        <v>0</v>
      </c>
      <c r="FZ334" t="s">
        <v>371</v>
      </c>
      <c r="GA334" t="s">
        <v>371</v>
      </c>
      <c r="GB334" t="s">
        <v>371</v>
      </c>
      <c r="GC334" t="s">
        <v>371</v>
      </c>
      <c r="GD334" t="s">
        <v>371</v>
      </c>
      <c r="GF334" t="s">
        <v>371</v>
      </c>
      <c r="GG334" t="s">
        <v>371</v>
      </c>
      <c r="GH334" t="s">
        <v>371</v>
      </c>
      <c r="GI334" t="s">
        <v>371</v>
      </c>
      <c r="GJ334" t="s">
        <v>371</v>
      </c>
      <c r="GK334" t="s">
        <v>371</v>
      </c>
      <c r="GN334" t="s">
        <v>371</v>
      </c>
      <c r="GO334" t="s">
        <v>371</v>
      </c>
      <c r="GP334" t="s">
        <v>371</v>
      </c>
      <c r="GQ334" t="s">
        <v>371</v>
      </c>
      <c r="GR334" t="s">
        <v>371</v>
      </c>
      <c r="GS334" t="s">
        <v>371</v>
      </c>
      <c r="GT334" t="s">
        <v>371</v>
      </c>
      <c r="GU334" t="s">
        <v>371</v>
      </c>
      <c r="GV334" t="s">
        <v>371</v>
      </c>
      <c r="GW334" t="s">
        <v>371</v>
      </c>
      <c r="GX334" t="s">
        <v>371</v>
      </c>
      <c r="HA334" t="s">
        <v>375</v>
      </c>
    </row>
    <row r="335" spans="1:209" ht="14.25" customHeight="1" x14ac:dyDescent="0.25">
      <c r="A335" t="s">
        <v>582</v>
      </c>
      <c r="B335" t="s">
        <v>376</v>
      </c>
      <c r="C335">
        <v>1</v>
      </c>
      <c r="D335" t="s">
        <v>366</v>
      </c>
      <c r="E335" s="73"/>
      <c r="AA335" t="s">
        <v>377</v>
      </c>
      <c r="AB335" s="73">
        <v>46194</v>
      </c>
      <c r="AC335" t="s">
        <v>382</v>
      </c>
      <c r="AF335" t="s">
        <v>379</v>
      </c>
      <c r="AI335" t="s">
        <v>380</v>
      </c>
      <c r="AJ335">
        <v>0</v>
      </c>
      <c r="AK335" t="s">
        <v>367</v>
      </c>
      <c r="AP335" t="s">
        <v>374</v>
      </c>
      <c r="AQ335" s="73"/>
      <c r="BR335" s="73"/>
      <c r="CX335" s="73"/>
      <c r="EQ335" s="73"/>
    </row>
    <row r="336" spans="1:209" ht="14.25" customHeight="1" x14ac:dyDescent="0.25">
      <c r="A336" t="s">
        <v>583</v>
      </c>
      <c r="D336" t="s">
        <v>366</v>
      </c>
      <c r="E336" s="73">
        <v>46194</v>
      </c>
      <c r="F336" t="s">
        <v>367</v>
      </c>
      <c r="H336" t="s">
        <v>403</v>
      </c>
      <c r="I336" t="s">
        <v>403</v>
      </c>
      <c r="J336">
        <v>1965</v>
      </c>
      <c r="K336" t="s">
        <v>391</v>
      </c>
      <c r="L336" t="s">
        <v>370</v>
      </c>
      <c r="M336" t="s">
        <v>371</v>
      </c>
      <c r="N336" t="s">
        <v>371</v>
      </c>
      <c r="O336" t="s">
        <v>371</v>
      </c>
      <c r="P336" t="s">
        <v>371</v>
      </c>
      <c r="Q336" t="s">
        <v>371</v>
      </c>
      <c r="R336" t="s">
        <v>372</v>
      </c>
      <c r="S336" t="s">
        <v>372</v>
      </c>
      <c r="T336" t="s">
        <v>372</v>
      </c>
      <c r="U336" t="s">
        <v>367</v>
      </c>
      <c r="W336" t="s">
        <v>367</v>
      </c>
      <c r="X336" t="s">
        <v>399</v>
      </c>
      <c r="Y336" t="s">
        <v>421</v>
      </c>
      <c r="Z336" t="s">
        <v>374</v>
      </c>
      <c r="AB336" s="73"/>
      <c r="AQ336" s="73"/>
      <c r="BG336" t="s">
        <v>371</v>
      </c>
      <c r="BH336" t="s">
        <v>371</v>
      </c>
      <c r="BI336" t="s">
        <v>371</v>
      </c>
      <c r="BJ336" t="s">
        <v>371</v>
      </c>
      <c r="BK336" t="s">
        <v>371</v>
      </c>
      <c r="BL336" t="s">
        <v>371</v>
      </c>
      <c r="BM336" t="s">
        <v>371</v>
      </c>
      <c r="BN336" t="s">
        <v>371</v>
      </c>
      <c r="BO336" t="s">
        <v>371</v>
      </c>
      <c r="BQ336" t="s">
        <v>375</v>
      </c>
      <c r="BR336" s="73"/>
      <c r="CX336" s="73"/>
      <c r="EQ336" s="73"/>
      <c r="FT336">
        <v>0</v>
      </c>
      <c r="FZ336" t="s">
        <v>371</v>
      </c>
      <c r="GA336" t="s">
        <v>371</v>
      </c>
      <c r="GB336" t="s">
        <v>371</v>
      </c>
      <c r="GC336" t="s">
        <v>371</v>
      </c>
      <c r="GD336" t="s">
        <v>371</v>
      </c>
      <c r="GF336" t="s">
        <v>371</v>
      </c>
      <c r="GG336" t="s">
        <v>371</v>
      </c>
      <c r="GH336" t="s">
        <v>371</v>
      </c>
      <c r="GI336" t="s">
        <v>371</v>
      </c>
      <c r="GJ336" t="s">
        <v>371</v>
      </c>
      <c r="GK336" t="s">
        <v>371</v>
      </c>
      <c r="GN336" t="s">
        <v>371</v>
      </c>
      <c r="GO336" t="s">
        <v>371</v>
      </c>
      <c r="GP336" t="s">
        <v>371</v>
      </c>
      <c r="GQ336" t="s">
        <v>371</v>
      </c>
      <c r="GR336" t="s">
        <v>371</v>
      </c>
      <c r="GS336" t="s">
        <v>371</v>
      </c>
      <c r="GT336" t="s">
        <v>371</v>
      </c>
      <c r="GU336" t="s">
        <v>371</v>
      </c>
      <c r="GV336" t="s">
        <v>371</v>
      </c>
      <c r="GW336" t="s">
        <v>371</v>
      </c>
      <c r="GX336" t="s">
        <v>371</v>
      </c>
      <c r="HA336" t="s">
        <v>375</v>
      </c>
    </row>
    <row r="337" spans="1:209" ht="14.25" customHeight="1" x14ac:dyDescent="0.25">
      <c r="A337" t="s">
        <v>583</v>
      </c>
      <c r="B337" t="s">
        <v>376</v>
      </c>
      <c r="C337">
        <v>1</v>
      </c>
      <c r="D337" t="s">
        <v>366</v>
      </c>
      <c r="E337" s="73"/>
      <c r="AA337" t="s">
        <v>377</v>
      </c>
      <c r="AB337" s="73">
        <v>46194</v>
      </c>
      <c r="AC337" t="s">
        <v>382</v>
      </c>
      <c r="AF337" t="s">
        <v>379</v>
      </c>
      <c r="AI337" t="s">
        <v>380</v>
      </c>
      <c r="AJ337">
        <v>0</v>
      </c>
      <c r="AK337" t="s">
        <v>367</v>
      </c>
      <c r="AP337" t="s">
        <v>374</v>
      </c>
      <c r="AQ337" s="73"/>
      <c r="BR337" s="73"/>
      <c r="CX337" s="73"/>
      <c r="EQ337" s="73"/>
    </row>
    <row r="338" spans="1:209" ht="14.25" customHeight="1" x14ac:dyDescent="0.25">
      <c r="A338" t="s">
        <v>584</v>
      </c>
      <c r="D338" t="s">
        <v>366</v>
      </c>
      <c r="E338" s="73">
        <v>46194</v>
      </c>
      <c r="F338" t="s">
        <v>367</v>
      </c>
      <c r="H338" t="s">
        <v>403</v>
      </c>
      <c r="I338" t="s">
        <v>403</v>
      </c>
      <c r="J338">
        <v>1970</v>
      </c>
      <c r="K338" t="s">
        <v>391</v>
      </c>
      <c r="L338" t="s">
        <v>370</v>
      </c>
      <c r="M338" t="s">
        <v>371</v>
      </c>
      <c r="N338" t="s">
        <v>371</v>
      </c>
      <c r="O338" t="s">
        <v>371</v>
      </c>
      <c r="P338" t="s">
        <v>371</v>
      </c>
      <c r="Q338" t="s">
        <v>371</v>
      </c>
      <c r="R338" t="s">
        <v>372</v>
      </c>
      <c r="S338" t="s">
        <v>372</v>
      </c>
      <c r="T338" t="s">
        <v>372</v>
      </c>
      <c r="U338" t="s">
        <v>367</v>
      </c>
      <c r="W338" t="s">
        <v>367</v>
      </c>
      <c r="X338" t="s">
        <v>373</v>
      </c>
      <c r="Y338" t="s">
        <v>396</v>
      </c>
      <c r="Z338" t="s">
        <v>374</v>
      </c>
      <c r="AB338" s="73"/>
      <c r="AQ338" s="73"/>
      <c r="BG338" t="s">
        <v>371</v>
      </c>
      <c r="BH338" t="s">
        <v>371</v>
      </c>
      <c r="BI338" t="s">
        <v>371</v>
      </c>
      <c r="BJ338" t="s">
        <v>371</v>
      </c>
      <c r="BK338" t="s">
        <v>371</v>
      </c>
      <c r="BL338" t="s">
        <v>371</v>
      </c>
      <c r="BM338" t="s">
        <v>371</v>
      </c>
      <c r="BN338" t="s">
        <v>371</v>
      </c>
      <c r="BO338" t="s">
        <v>371</v>
      </c>
      <c r="BQ338" t="s">
        <v>375</v>
      </c>
      <c r="BR338" s="73"/>
      <c r="CX338" s="73"/>
      <c r="EQ338" s="73"/>
      <c r="FT338">
        <v>0</v>
      </c>
      <c r="FZ338" t="s">
        <v>371</v>
      </c>
      <c r="GA338" t="s">
        <v>371</v>
      </c>
      <c r="GB338" t="s">
        <v>371</v>
      </c>
      <c r="GC338" t="s">
        <v>371</v>
      </c>
      <c r="GD338" t="s">
        <v>371</v>
      </c>
      <c r="GF338" t="s">
        <v>371</v>
      </c>
      <c r="GG338" t="s">
        <v>371</v>
      </c>
      <c r="GH338" t="s">
        <v>371</v>
      </c>
      <c r="GI338" t="s">
        <v>371</v>
      </c>
      <c r="GJ338" t="s">
        <v>371</v>
      </c>
      <c r="GK338" t="s">
        <v>371</v>
      </c>
      <c r="GN338" t="s">
        <v>371</v>
      </c>
      <c r="GO338" t="s">
        <v>371</v>
      </c>
      <c r="GP338" t="s">
        <v>371</v>
      </c>
      <c r="GQ338" t="s">
        <v>371</v>
      </c>
      <c r="GR338" t="s">
        <v>371</v>
      </c>
      <c r="GS338" t="s">
        <v>371</v>
      </c>
      <c r="GT338" t="s">
        <v>371</v>
      </c>
      <c r="GU338" t="s">
        <v>371</v>
      </c>
      <c r="GV338" t="s">
        <v>371</v>
      </c>
      <c r="GW338" t="s">
        <v>371</v>
      </c>
      <c r="GX338" t="s">
        <v>371</v>
      </c>
      <c r="HA338" t="s">
        <v>375</v>
      </c>
    </row>
    <row r="339" spans="1:209" ht="14.25" customHeight="1" x14ac:dyDescent="0.25">
      <c r="A339" t="s">
        <v>584</v>
      </c>
      <c r="B339" t="s">
        <v>376</v>
      </c>
      <c r="C339">
        <v>1</v>
      </c>
      <c r="D339" t="s">
        <v>366</v>
      </c>
      <c r="E339" s="73"/>
      <c r="AA339" t="s">
        <v>377</v>
      </c>
      <c r="AB339" s="73">
        <v>46194</v>
      </c>
      <c r="AC339" t="s">
        <v>585</v>
      </c>
      <c r="AF339" t="s">
        <v>379</v>
      </c>
      <c r="AI339" t="s">
        <v>380</v>
      </c>
      <c r="AJ339">
        <v>0</v>
      </c>
      <c r="AK339" t="s">
        <v>367</v>
      </c>
      <c r="AP339" t="s">
        <v>374</v>
      </c>
      <c r="AQ339" s="73"/>
      <c r="BR339" s="73"/>
      <c r="CX339" s="73"/>
      <c r="EQ339" s="73"/>
    </row>
    <row r="340" spans="1:209" ht="14.25" customHeight="1" x14ac:dyDescent="0.25">
      <c r="A340" t="s">
        <v>586</v>
      </c>
      <c r="D340" t="s">
        <v>366</v>
      </c>
      <c r="E340" s="73">
        <v>46194</v>
      </c>
      <c r="F340" t="s">
        <v>367</v>
      </c>
      <c r="H340" t="s">
        <v>403</v>
      </c>
      <c r="I340" t="s">
        <v>403</v>
      </c>
      <c r="J340">
        <v>2007</v>
      </c>
      <c r="K340" t="s">
        <v>448</v>
      </c>
      <c r="L340" t="s">
        <v>370</v>
      </c>
      <c r="M340" t="s">
        <v>371</v>
      </c>
      <c r="N340" t="s">
        <v>371</v>
      </c>
      <c r="O340" t="s">
        <v>371</v>
      </c>
      <c r="P340" t="s">
        <v>371</v>
      </c>
      <c r="Q340" t="s">
        <v>371</v>
      </c>
      <c r="R340" t="s">
        <v>372</v>
      </c>
      <c r="S340" t="s">
        <v>372</v>
      </c>
      <c r="T340" t="s">
        <v>372</v>
      </c>
      <c r="U340" t="s">
        <v>367</v>
      </c>
      <c r="W340" t="s">
        <v>367</v>
      </c>
      <c r="X340" t="s">
        <v>373</v>
      </c>
      <c r="Y340" t="s">
        <v>367</v>
      </c>
      <c r="Z340" t="s">
        <v>374</v>
      </c>
      <c r="AB340" s="73"/>
      <c r="AQ340" s="73"/>
      <c r="BG340" t="s">
        <v>371</v>
      </c>
      <c r="BH340" t="s">
        <v>371</v>
      </c>
      <c r="BI340" t="s">
        <v>371</v>
      </c>
      <c r="BJ340" t="s">
        <v>371</v>
      </c>
      <c r="BK340" t="s">
        <v>371</v>
      </c>
      <c r="BL340" t="s">
        <v>371</v>
      </c>
      <c r="BM340" t="s">
        <v>371</v>
      </c>
      <c r="BN340" t="s">
        <v>371</v>
      </c>
      <c r="BO340" t="s">
        <v>371</v>
      </c>
      <c r="BQ340" t="s">
        <v>375</v>
      </c>
      <c r="BR340" s="73"/>
      <c r="CX340" s="73"/>
      <c r="EQ340" s="73"/>
      <c r="FT340">
        <v>0</v>
      </c>
      <c r="FZ340" t="s">
        <v>371</v>
      </c>
      <c r="GA340" t="s">
        <v>371</v>
      </c>
      <c r="GB340" t="s">
        <v>371</v>
      </c>
      <c r="GC340" t="s">
        <v>371</v>
      </c>
      <c r="GD340" t="s">
        <v>371</v>
      </c>
      <c r="GF340" t="s">
        <v>371</v>
      </c>
      <c r="GG340" t="s">
        <v>371</v>
      </c>
      <c r="GH340" t="s">
        <v>371</v>
      </c>
      <c r="GI340" t="s">
        <v>371</v>
      </c>
      <c r="GJ340" t="s">
        <v>371</v>
      </c>
      <c r="GK340" t="s">
        <v>371</v>
      </c>
      <c r="GN340" t="s">
        <v>371</v>
      </c>
      <c r="GO340" t="s">
        <v>371</v>
      </c>
      <c r="GP340" t="s">
        <v>371</v>
      </c>
      <c r="GQ340" t="s">
        <v>371</v>
      </c>
      <c r="GR340" t="s">
        <v>371</v>
      </c>
      <c r="GS340" t="s">
        <v>371</v>
      </c>
      <c r="GT340" t="s">
        <v>371</v>
      </c>
      <c r="GU340" t="s">
        <v>371</v>
      </c>
      <c r="GV340" t="s">
        <v>371</v>
      </c>
      <c r="GW340" t="s">
        <v>371</v>
      </c>
      <c r="GX340" t="s">
        <v>371</v>
      </c>
      <c r="HA340" t="s">
        <v>375</v>
      </c>
    </row>
    <row r="341" spans="1:209" ht="14.25" customHeight="1" x14ac:dyDescent="0.25">
      <c r="A341" t="s">
        <v>586</v>
      </c>
      <c r="B341" t="s">
        <v>376</v>
      </c>
      <c r="C341">
        <v>1</v>
      </c>
      <c r="D341" t="s">
        <v>366</v>
      </c>
      <c r="E341" s="73"/>
      <c r="AA341" t="s">
        <v>377</v>
      </c>
      <c r="AB341" s="73">
        <v>46194</v>
      </c>
      <c r="AC341" t="s">
        <v>585</v>
      </c>
      <c r="AF341" t="s">
        <v>379</v>
      </c>
      <c r="AI341" t="s">
        <v>471</v>
      </c>
      <c r="AJ341">
        <v>0</v>
      </c>
      <c r="AK341" t="s">
        <v>367</v>
      </c>
      <c r="AP341" t="s">
        <v>374</v>
      </c>
      <c r="AQ341" s="73"/>
      <c r="BR341" s="73"/>
      <c r="CX341" s="73"/>
      <c r="EQ341" s="73"/>
    </row>
    <row r="342" spans="1:209" ht="14.25" customHeight="1" x14ac:dyDescent="0.25">
      <c r="A342" t="s">
        <v>587</v>
      </c>
      <c r="D342" t="s">
        <v>366</v>
      </c>
      <c r="E342" s="73">
        <v>46194</v>
      </c>
      <c r="F342" t="s">
        <v>367</v>
      </c>
      <c r="H342" t="s">
        <v>403</v>
      </c>
      <c r="I342" t="s">
        <v>403</v>
      </c>
      <c r="J342">
        <v>1960</v>
      </c>
      <c r="K342" t="s">
        <v>391</v>
      </c>
      <c r="L342" t="s">
        <v>370</v>
      </c>
      <c r="M342" t="s">
        <v>371</v>
      </c>
      <c r="N342" t="s">
        <v>371</v>
      </c>
      <c r="O342" t="s">
        <v>371</v>
      </c>
      <c r="P342" t="s">
        <v>371</v>
      </c>
      <c r="Q342" t="s">
        <v>371</v>
      </c>
      <c r="R342" t="s">
        <v>372</v>
      </c>
      <c r="S342" t="s">
        <v>372</v>
      </c>
      <c r="T342" t="s">
        <v>372</v>
      </c>
      <c r="U342" t="s">
        <v>367</v>
      </c>
      <c r="W342" t="s">
        <v>367</v>
      </c>
      <c r="X342" t="s">
        <v>494</v>
      </c>
      <c r="Y342" t="s">
        <v>421</v>
      </c>
      <c r="Z342" t="s">
        <v>374</v>
      </c>
      <c r="AB342" s="73"/>
      <c r="AQ342" s="73"/>
      <c r="BG342" t="s">
        <v>371</v>
      </c>
      <c r="BH342" t="s">
        <v>371</v>
      </c>
      <c r="BI342" t="s">
        <v>371</v>
      </c>
      <c r="BJ342" t="s">
        <v>371</v>
      </c>
      <c r="BK342" t="s">
        <v>371</v>
      </c>
      <c r="BL342" t="s">
        <v>371</v>
      </c>
      <c r="BM342" t="s">
        <v>371</v>
      </c>
      <c r="BN342" t="s">
        <v>371</v>
      </c>
      <c r="BO342" t="s">
        <v>371</v>
      </c>
      <c r="BQ342" t="s">
        <v>375</v>
      </c>
      <c r="BR342" s="73"/>
      <c r="CX342" s="73"/>
      <c r="EQ342" s="73"/>
      <c r="FT342">
        <v>0</v>
      </c>
      <c r="FZ342" t="s">
        <v>371</v>
      </c>
      <c r="GA342" t="s">
        <v>371</v>
      </c>
      <c r="GB342" t="s">
        <v>371</v>
      </c>
      <c r="GC342" t="s">
        <v>371</v>
      </c>
      <c r="GD342" t="s">
        <v>371</v>
      </c>
      <c r="GF342" t="s">
        <v>371</v>
      </c>
      <c r="GG342" t="s">
        <v>371</v>
      </c>
      <c r="GH342" t="s">
        <v>371</v>
      </c>
      <c r="GI342" t="s">
        <v>371</v>
      </c>
      <c r="GJ342" t="s">
        <v>371</v>
      </c>
      <c r="GK342" t="s">
        <v>371</v>
      </c>
      <c r="GN342" t="s">
        <v>371</v>
      </c>
      <c r="GO342" t="s">
        <v>371</v>
      </c>
      <c r="GP342" t="s">
        <v>371</v>
      </c>
      <c r="GQ342" t="s">
        <v>371</v>
      </c>
      <c r="GR342" t="s">
        <v>371</v>
      </c>
      <c r="GS342" t="s">
        <v>371</v>
      </c>
      <c r="GT342" t="s">
        <v>371</v>
      </c>
      <c r="GU342" t="s">
        <v>371</v>
      </c>
      <c r="GV342" t="s">
        <v>371</v>
      </c>
      <c r="GW342" t="s">
        <v>371</v>
      </c>
      <c r="GX342" t="s">
        <v>371</v>
      </c>
      <c r="HA342" t="s">
        <v>375</v>
      </c>
    </row>
    <row r="343" spans="1:209" ht="14.25" customHeight="1" x14ac:dyDescent="0.25">
      <c r="A343" t="s">
        <v>587</v>
      </c>
      <c r="B343" t="s">
        <v>376</v>
      </c>
      <c r="C343">
        <v>1</v>
      </c>
      <c r="D343" t="s">
        <v>366</v>
      </c>
      <c r="E343" s="73"/>
      <c r="AA343" t="s">
        <v>377</v>
      </c>
      <c r="AB343" s="73">
        <v>46194</v>
      </c>
      <c r="AC343" t="s">
        <v>585</v>
      </c>
      <c r="AF343" t="s">
        <v>379</v>
      </c>
      <c r="AI343" t="s">
        <v>380</v>
      </c>
      <c r="AJ343">
        <v>0</v>
      </c>
      <c r="AK343" t="s">
        <v>367</v>
      </c>
      <c r="AP343" t="s">
        <v>374</v>
      </c>
      <c r="AQ343" s="73"/>
      <c r="BR343" s="73"/>
      <c r="CX343" s="73"/>
      <c r="EQ343" s="73"/>
    </row>
    <row r="344" spans="1:209" ht="14.25" customHeight="1" x14ac:dyDescent="0.25">
      <c r="A344" t="s">
        <v>588</v>
      </c>
      <c r="D344" t="s">
        <v>366</v>
      </c>
      <c r="E344" s="73">
        <v>46194</v>
      </c>
      <c r="F344" t="s">
        <v>367</v>
      </c>
      <c r="H344" t="s">
        <v>368</v>
      </c>
      <c r="I344" t="s">
        <v>368</v>
      </c>
      <c r="J344">
        <v>1979</v>
      </c>
      <c r="K344" t="s">
        <v>369</v>
      </c>
      <c r="L344" t="s">
        <v>370</v>
      </c>
      <c r="M344" t="s">
        <v>371</v>
      </c>
      <c r="N344" t="s">
        <v>371</v>
      </c>
      <c r="O344" t="s">
        <v>371</v>
      </c>
      <c r="P344" t="s">
        <v>371</v>
      </c>
      <c r="Q344" t="s">
        <v>371</v>
      </c>
      <c r="R344" t="s">
        <v>372</v>
      </c>
      <c r="S344" t="s">
        <v>372</v>
      </c>
      <c r="T344" t="s">
        <v>372</v>
      </c>
      <c r="U344" t="s">
        <v>367</v>
      </c>
      <c r="W344" t="s">
        <v>367</v>
      </c>
      <c r="X344" t="s">
        <v>373</v>
      </c>
      <c r="Y344" t="s">
        <v>396</v>
      </c>
      <c r="Z344" t="s">
        <v>374</v>
      </c>
      <c r="AB344" s="73"/>
      <c r="AQ344" s="73"/>
      <c r="BG344" t="s">
        <v>371</v>
      </c>
      <c r="BH344" t="s">
        <v>371</v>
      </c>
      <c r="BI344" t="s">
        <v>371</v>
      </c>
      <c r="BJ344" t="s">
        <v>371</v>
      </c>
      <c r="BK344" t="s">
        <v>371</v>
      </c>
      <c r="BL344" t="s">
        <v>371</v>
      </c>
      <c r="BM344" t="s">
        <v>371</v>
      </c>
      <c r="BN344" t="s">
        <v>371</v>
      </c>
      <c r="BO344" t="s">
        <v>371</v>
      </c>
      <c r="BQ344" t="s">
        <v>375</v>
      </c>
      <c r="BR344" s="73"/>
      <c r="CX344" s="73"/>
      <c r="EQ344" s="73"/>
      <c r="FT344">
        <v>0</v>
      </c>
      <c r="FZ344" t="s">
        <v>371</v>
      </c>
      <c r="GA344" t="s">
        <v>371</v>
      </c>
      <c r="GB344" t="s">
        <v>371</v>
      </c>
      <c r="GC344" t="s">
        <v>371</v>
      </c>
      <c r="GD344" t="s">
        <v>371</v>
      </c>
      <c r="GF344" t="s">
        <v>371</v>
      </c>
      <c r="GG344" t="s">
        <v>371</v>
      </c>
      <c r="GH344" t="s">
        <v>371</v>
      </c>
      <c r="GI344" t="s">
        <v>371</v>
      </c>
      <c r="GJ344" t="s">
        <v>371</v>
      </c>
      <c r="GK344" t="s">
        <v>371</v>
      </c>
      <c r="GN344" t="s">
        <v>371</v>
      </c>
      <c r="GO344" t="s">
        <v>371</v>
      </c>
      <c r="GP344" t="s">
        <v>371</v>
      </c>
      <c r="GQ344" t="s">
        <v>371</v>
      </c>
      <c r="GR344" t="s">
        <v>371</v>
      </c>
      <c r="GS344" t="s">
        <v>371</v>
      </c>
      <c r="GT344" t="s">
        <v>371</v>
      </c>
      <c r="GU344" t="s">
        <v>371</v>
      </c>
      <c r="GV344" t="s">
        <v>371</v>
      </c>
      <c r="GW344" t="s">
        <v>371</v>
      </c>
      <c r="GX344" t="s">
        <v>371</v>
      </c>
      <c r="HA344" t="s">
        <v>375</v>
      </c>
    </row>
    <row r="345" spans="1:209" ht="14.25" customHeight="1" x14ac:dyDescent="0.25">
      <c r="A345" t="s">
        <v>588</v>
      </c>
      <c r="B345" t="s">
        <v>376</v>
      </c>
      <c r="C345">
        <v>1</v>
      </c>
      <c r="D345" t="s">
        <v>366</v>
      </c>
      <c r="E345" s="73"/>
      <c r="AA345" t="s">
        <v>377</v>
      </c>
      <c r="AB345" s="73">
        <v>46194</v>
      </c>
      <c r="AC345" t="s">
        <v>585</v>
      </c>
      <c r="AF345" t="s">
        <v>379</v>
      </c>
      <c r="AI345" t="s">
        <v>380</v>
      </c>
      <c r="AJ345">
        <v>0</v>
      </c>
      <c r="AK345" t="s">
        <v>367</v>
      </c>
      <c r="AP345" t="s">
        <v>374</v>
      </c>
      <c r="AQ345" s="73"/>
      <c r="BR345" s="73"/>
      <c r="CX345" s="73"/>
      <c r="EQ345" s="73"/>
    </row>
    <row r="346" spans="1:209" ht="14.25" customHeight="1" x14ac:dyDescent="0.25">
      <c r="A346" t="s">
        <v>588</v>
      </c>
      <c r="B346" t="s">
        <v>381</v>
      </c>
      <c r="C346">
        <v>1</v>
      </c>
      <c r="D346" t="s">
        <v>366</v>
      </c>
      <c r="E346" s="73"/>
      <c r="AB346" s="73"/>
      <c r="AQ346" s="73">
        <v>46194</v>
      </c>
      <c r="AR346" t="s">
        <v>382</v>
      </c>
      <c r="AU346" t="s">
        <v>383</v>
      </c>
      <c r="AV346" t="s">
        <v>385</v>
      </c>
      <c r="AW346" t="s">
        <v>383</v>
      </c>
      <c r="AX346" t="s">
        <v>385</v>
      </c>
      <c r="AY346" t="s">
        <v>383</v>
      </c>
      <c r="AZ346" t="s">
        <v>383</v>
      </c>
      <c r="BA346" t="s">
        <v>367</v>
      </c>
      <c r="BB346" t="s">
        <v>367</v>
      </c>
      <c r="BC346">
        <v>8</v>
      </c>
      <c r="BD346" t="s">
        <v>374</v>
      </c>
      <c r="BR346" s="73"/>
      <c r="CX346" s="73"/>
      <c r="EQ346" s="73"/>
    </row>
    <row r="347" spans="1:209" ht="14.25" customHeight="1" x14ac:dyDescent="0.25">
      <c r="A347" t="s">
        <v>589</v>
      </c>
      <c r="D347" t="s">
        <v>366</v>
      </c>
      <c r="E347" s="73">
        <v>46194</v>
      </c>
      <c r="F347" t="s">
        <v>367</v>
      </c>
      <c r="H347" t="s">
        <v>403</v>
      </c>
      <c r="I347" t="s">
        <v>403</v>
      </c>
      <c r="J347">
        <v>1986</v>
      </c>
      <c r="K347" t="s">
        <v>448</v>
      </c>
      <c r="L347" t="s">
        <v>371</v>
      </c>
      <c r="M347" t="s">
        <v>370</v>
      </c>
      <c r="N347" t="s">
        <v>371</v>
      </c>
      <c r="O347" t="s">
        <v>371</v>
      </c>
      <c r="P347" t="s">
        <v>371</v>
      </c>
      <c r="Q347" t="s">
        <v>371</v>
      </c>
      <c r="R347" t="s">
        <v>372</v>
      </c>
      <c r="S347" t="s">
        <v>372</v>
      </c>
      <c r="T347" t="s">
        <v>372</v>
      </c>
      <c r="U347" t="s">
        <v>367</v>
      </c>
      <c r="W347" t="s">
        <v>367</v>
      </c>
      <c r="X347" t="s">
        <v>373</v>
      </c>
      <c r="Y347" t="s">
        <v>367</v>
      </c>
      <c r="Z347" t="s">
        <v>374</v>
      </c>
      <c r="AB347" s="73"/>
      <c r="AQ347" s="73"/>
      <c r="BG347" t="s">
        <v>371</v>
      </c>
      <c r="BH347" t="s">
        <v>371</v>
      </c>
      <c r="BI347" t="s">
        <v>371</v>
      </c>
      <c r="BJ347" t="s">
        <v>371</v>
      </c>
      <c r="BK347" t="s">
        <v>371</v>
      </c>
      <c r="BL347" t="s">
        <v>371</v>
      </c>
      <c r="BM347" t="s">
        <v>371</v>
      </c>
      <c r="BN347" t="s">
        <v>371</v>
      </c>
      <c r="BO347" t="s">
        <v>371</v>
      </c>
      <c r="BQ347" t="s">
        <v>375</v>
      </c>
      <c r="BR347" s="73"/>
      <c r="CX347" s="73"/>
      <c r="EQ347" s="73"/>
      <c r="FT347">
        <v>0</v>
      </c>
      <c r="FZ347" t="s">
        <v>371</v>
      </c>
      <c r="GA347" t="s">
        <v>371</v>
      </c>
      <c r="GB347" t="s">
        <v>371</v>
      </c>
      <c r="GC347" t="s">
        <v>371</v>
      </c>
      <c r="GD347" t="s">
        <v>371</v>
      </c>
      <c r="GF347" t="s">
        <v>371</v>
      </c>
      <c r="GG347" t="s">
        <v>371</v>
      </c>
      <c r="GH347" t="s">
        <v>371</v>
      </c>
      <c r="GI347" t="s">
        <v>371</v>
      </c>
      <c r="GJ347" t="s">
        <v>371</v>
      </c>
      <c r="GK347" t="s">
        <v>371</v>
      </c>
      <c r="GN347" t="s">
        <v>371</v>
      </c>
      <c r="GO347" t="s">
        <v>371</v>
      </c>
      <c r="GP347" t="s">
        <v>371</v>
      </c>
      <c r="GQ347" t="s">
        <v>371</v>
      </c>
      <c r="GR347" t="s">
        <v>371</v>
      </c>
      <c r="GS347" t="s">
        <v>371</v>
      </c>
      <c r="GT347" t="s">
        <v>371</v>
      </c>
      <c r="GU347" t="s">
        <v>371</v>
      </c>
      <c r="GV347" t="s">
        <v>371</v>
      </c>
      <c r="GW347" t="s">
        <v>371</v>
      </c>
      <c r="GX347" t="s">
        <v>371</v>
      </c>
      <c r="HA347" t="s">
        <v>375</v>
      </c>
    </row>
    <row r="348" spans="1:209" ht="14.25" customHeight="1" x14ac:dyDescent="0.25">
      <c r="A348" t="s">
        <v>589</v>
      </c>
      <c r="B348" t="s">
        <v>376</v>
      </c>
      <c r="C348">
        <v>1</v>
      </c>
      <c r="D348" t="s">
        <v>366</v>
      </c>
      <c r="E348" s="73"/>
      <c r="AA348" t="s">
        <v>377</v>
      </c>
      <c r="AB348" s="73">
        <v>46194</v>
      </c>
      <c r="AC348" t="s">
        <v>585</v>
      </c>
      <c r="AF348" t="s">
        <v>379</v>
      </c>
      <c r="AI348" t="s">
        <v>380</v>
      </c>
      <c r="AJ348">
        <v>0</v>
      </c>
      <c r="AK348" t="s">
        <v>372</v>
      </c>
      <c r="AP348" t="s">
        <v>374</v>
      </c>
      <c r="AQ348" s="73"/>
      <c r="BR348" s="73"/>
      <c r="CX348" s="73"/>
      <c r="EQ348" s="73"/>
    </row>
    <row r="349" spans="1:209" ht="14.25" customHeight="1" x14ac:dyDescent="0.25">
      <c r="A349" t="s">
        <v>589</v>
      </c>
      <c r="B349" t="s">
        <v>381</v>
      </c>
      <c r="C349">
        <v>1</v>
      </c>
      <c r="D349" t="s">
        <v>366</v>
      </c>
      <c r="E349" s="73"/>
      <c r="AB349" s="73"/>
      <c r="AQ349" s="73">
        <v>46194</v>
      </c>
      <c r="AR349" t="s">
        <v>434</v>
      </c>
      <c r="AU349" t="s">
        <v>383</v>
      </c>
      <c r="AV349" t="s">
        <v>383</v>
      </c>
      <c r="AW349" t="s">
        <v>384</v>
      </c>
      <c r="AX349" t="s">
        <v>404</v>
      </c>
      <c r="AY349" t="s">
        <v>383</v>
      </c>
      <c r="AZ349" t="s">
        <v>384</v>
      </c>
      <c r="BA349" t="s">
        <v>367</v>
      </c>
      <c r="BB349" t="s">
        <v>367</v>
      </c>
      <c r="BC349">
        <v>6</v>
      </c>
      <c r="BD349" t="s">
        <v>374</v>
      </c>
      <c r="BR349" s="73"/>
      <c r="CX349" s="73"/>
      <c r="EQ349" s="73"/>
    </row>
    <row r="350" spans="1:209" ht="14.25" customHeight="1" x14ac:dyDescent="0.25">
      <c r="A350" t="s">
        <v>590</v>
      </c>
      <c r="D350" t="s">
        <v>366</v>
      </c>
      <c r="E350" s="73">
        <v>46194</v>
      </c>
      <c r="F350" t="s">
        <v>367</v>
      </c>
      <c r="H350" t="s">
        <v>403</v>
      </c>
      <c r="I350" t="s">
        <v>403</v>
      </c>
      <c r="J350">
        <v>1982</v>
      </c>
      <c r="K350" t="s">
        <v>448</v>
      </c>
      <c r="L350" t="s">
        <v>371</v>
      </c>
      <c r="M350" t="s">
        <v>370</v>
      </c>
      <c r="N350" t="s">
        <v>371</v>
      </c>
      <c r="O350" t="s">
        <v>371</v>
      </c>
      <c r="P350" t="s">
        <v>371</v>
      </c>
      <c r="Q350" t="s">
        <v>371</v>
      </c>
      <c r="R350" t="s">
        <v>372</v>
      </c>
      <c r="S350" t="s">
        <v>372</v>
      </c>
      <c r="T350" t="s">
        <v>372</v>
      </c>
      <c r="U350" t="s">
        <v>367</v>
      </c>
      <c r="W350" t="s">
        <v>367</v>
      </c>
      <c r="X350" t="s">
        <v>399</v>
      </c>
      <c r="Y350" t="s">
        <v>421</v>
      </c>
      <c r="Z350" t="s">
        <v>374</v>
      </c>
      <c r="AB350" s="73"/>
      <c r="AQ350" s="73"/>
      <c r="BG350" t="s">
        <v>371</v>
      </c>
      <c r="BH350" t="s">
        <v>371</v>
      </c>
      <c r="BI350" t="s">
        <v>371</v>
      </c>
      <c r="BJ350" t="s">
        <v>371</v>
      </c>
      <c r="BK350" t="s">
        <v>371</v>
      </c>
      <c r="BL350" t="s">
        <v>371</v>
      </c>
      <c r="BM350" t="s">
        <v>371</v>
      </c>
      <c r="BN350" t="s">
        <v>371</v>
      </c>
      <c r="BO350" t="s">
        <v>371</v>
      </c>
      <c r="BQ350" t="s">
        <v>375</v>
      </c>
      <c r="BR350" s="73"/>
      <c r="CX350" s="73"/>
      <c r="EQ350" s="73"/>
      <c r="FT350">
        <v>0</v>
      </c>
      <c r="FZ350" t="s">
        <v>371</v>
      </c>
      <c r="GA350" t="s">
        <v>371</v>
      </c>
      <c r="GB350" t="s">
        <v>371</v>
      </c>
      <c r="GC350" t="s">
        <v>371</v>
      </c>
      <c r="GD350" t="s">
        <v>371</v>
      </c>
      <c r="GF350" t="s">
        <v>371</v>
      </c>
      <c r="GG350" t="s">
        <v>371</v>
      </c>
      <c r="GH350" t="s">
        <v>371</v>
      </c>
      <c r="GI350" t="s">
        <v>371</v>
      </c>
      <c r="GJ350" t="s">
        <v>371</v>
      </c>
      <c r="GK350" t="s">
        <v>371</v>
      </c>
      <c r="GN350" t="s">
        <v>371</v>
      </c>
      <c r="GO350" t="s">
        <v>371</v>
      </c>
      <c r="GP350" t="s">
        <v>371</v>
      </c>
      <c r="GQ350" t="s">
        <v>371</v>
      </c>
      <c r="GR350" t="s">
        <v>371</v>
      </c>
      <c r="GS350" t="s">
        <v>371</v>
      </c>
      <c r="GT350" t="s">
        <v>371</v>
      </c>
      <c r="GU350" t="s">
        <v>371</v>
      </c>
      <c r="GV350" t="s">
        <v>371</v>
      </c>
      <c r="GW350" t="s">
        <v>371</v>
      </c>
      <c r="GX350" t="s">
        <v>371</v>
      </c>
      <c r="HA350" t="s">
        <v>375</v>
      </c>
    </row>
    <row r="351" spans="1:209" ht="14.25" customHeight="1" x14ac:dyDescent="0.25">
      <c r="A351" t="s">
        <v>590</v>
      </c>
      <c r="B351" t="s">
        <v>376</v>
      </c>
      <c r="C351">
        <v>1</v>
      </c>
      <c r="D351" t="s">
        <v>366</v>
      </c>
      <c r="E351" s="73"/>
      <c r="AA351" t="s">
        <v>377</v>
      </c>
      <c r="AB351" s="73">
        <v>46194</v>
      </c>
      <c r="AC351" t="s">
        <v>585</v>
      </c>
      <c r="AF351" t="s">
        <v>379</v>
      </c>
      <c r="AI351" t="s">
        <v>380</v>
      </c>
      <c r="AJ351">
        <v>0</v>
      </c>
      <c r="AK351" t="s">
        <v>372</v>
      </c>
      <c r="AP351" t="s">
        <v>374</v>
      </c>
      <c r="AQ351" s="73"/>
      <c r="BR351" s="73"/>
      <c r="CX351" s="73"/>
      <c r="EQ351" s="73"/>
    </row>
    <row r="352" spans="1:209" ht="14.25" customHeight="1" x14ac:dyDescent="0.25">
      <c r="A352" t="s">
        <v>590</v>
      </c>
      <c r="B352" t="s">
        <v>381</v>
      </c>
      <c r="C352">
        <v>1</v>
      </c>
      <c r="D352" t="s">
        <v>366</v>
      </c>
      <c r="E352" s="73"/>
      <c r="AB352" s="73"/>
      <c r="AQ352" s="73">
        <v>46194</v>
      </c>
      <c r="AR352" t="s">
        <v>397</v>
      </c>
      <c r="AU352" t="s">
        <v>384</v>
      </c>
      <c r="AV352" t="s">
        <v>383</v>
      </c>
      <c r="AW352" t="s">
        <v>384</v>
      </c>
      <c r="AX352" t="s">
        <v>383</v>
      </c>
      <c r="AY352" t="s">
        <v>384</v>
      </c>
      <c r="AZ352" t="s">
        <v>384</v>
      </c>
      <c r="BA352" t="s">
        <v>367</v>
      </c>
      <c r="BB352" t="s">
        <v>367</v>
      </c>
      <c r="BC352">
        <v>2</v>
      </c>
      <c r="BD352" t="s">
        <v>374</v>
      </c>
      <c r="BR352" s="73"/>
      <c r="CX352" s="73"/>
      <c r="EQ352" s="73"/>
    </row>
    <row r="353" spans="1:209" ht="14.25" customHeight="1" x14ac:dyDescent="0.25">
      <c r="A353" t="s">
        <v>591</v>
      </c>
      <c r="D353" t="s">
        <v>366</v>
      </c>
      <c r="E353" s="73">
        <v>46194</v>
      </c>
      <c r="F353" t="s">
        <v>367</v>
      </c>
      <c r="H353" t="s">
        <v>403</v>
      </c>
      <c r="I353" t="s">
        <v>403</v>
      </c>
      <c r="J353">
        <v>2003</v>
      </c>
      <c r="K353" t="s">
        <v>448</v>
      </c>
      <c r="L353" t="s">
        <v>371</v>
      </c>
      <c r="M353" t="s">
        <v>370</v>
      </c>
      <c r="N353" t="s">
        <v>371</v>
      </c>
      <c r="O353" t="s">
        <v>371</v>
      </c>
      <c r="P353" t="s">
        <v>371</v>
      </c>
      <c r="Q353" t="s">
        <v>371</v>
      </c>
      <c r="R353" t="s">
        <v>372</v>
      </c>
      <c r="S353" t="s">
        <v>367</v>
      </c>
      <c r="T353" t="s">
        <v>367</v>
      </c>
      <c r="U353" t="s">
        <v>367</v>
      </c>
      <c r="W353" t="s">
        <v>367</v>
      </c>
      <c r="X353" t="s">
        <v>399</v>
      </c>
      <c r="Y353" t="s">
        <v>396</v>
      </c>
      <c r="Z353" t="s">
        <v>374</v>
      </c>
      <c r="AB353" s="73"/>
      <c r="AQ353" s="73"/>
      <c r="BG353" t="s">
        <v>371</v>
      </c>
      <c r="BH353" t="s">
        <v>371</v>
      </c>
      <c r="BI353" t="s">
        <v>371</v>
      </c>
      <c r="BJ353" t="s">
        <v>371</v>
      </c>
      <c r="BK353" t="s">
        <v>371</v>
      </c>
      <c r="BL353" t="s">
        <v>371</v>
      </c>
      <c r="BM353" t="s">
        <v>371</v>
      </c>
      <c r="BN353" t="s">
        <v>371</v>
      </c>
      <c r="BO353" t="s">
        <v>371</v>
      </c>
      <c r="BQ353" t="s">
        <v>375</v>
      </c>
      <c r="BR353" s="73"/>
      <c r="CX353" s="73"/>
      <c r="EQ353" s="73"/>
      <c r="FT353">
        <v>0</v>
      </c>
      <c r="FZ353" t="s">
        <v>371</v>
      </c>
      <c r="GA353" t="s">
        <v>371</v>
      </c>
      <c r="GB353" t="s">
        <v>371</v>
      </c>
      <c r="GC353" t="s">
        <v>371</v>
      </c>
      <c r="GD353" t="s">
        <v>371</v>
      </c>
      <c r="GF353" t="s">
        <v>371</v>
      </c>
      <c r="GG353" t="s">
        <v>371</v>
      </c>
      <c r="GH353" t="s">
        <v>371</v>
      </c>
      <c r="GI353" t="s">
        <v>371</v>
      </c>
      <c r="GJ353" t="s">
        <v>371</v>
      </c>
      <c r="GK353" t="s">
        <v>371</v>
      </c>
      <c r="GN353" t="s">
        <v>371</v>
      </c>
      <c r="GO353" t="s">
        <v>371</v>
      </c>
      <c r="GP353" t="s">
        <v>371</v>
      </c>
      <c r="GQ353" t="s">
        <v>371</v>
      </c>
      <c r="GR353" t="s">
        <v>371</v>
      </c>
      <c r="GS353" t="s">
        <v>371</v>
      </c>
      <c r="GT353" t="s">
        <v>371</v>
      </c>
      <c r="GU353" t="s">
        <v>371</v>
      </c>
      <c r="GV353" t="s">
        <v>371</v>
      </c>
      <c r="GW353" t="s">
        <v>371</v>
      </c>
      <c r="GX353" t="s">
        <v>371</v>
      </c>
      <c r="HA353" t="s">
        <v>375</v>
      </c>
    </row>
    <row r="354" spans="1:209" ht="14.25" customHeight="1" x14ac:dyDescent="0.25">
      <c r="A354" t="s">
        <v>591</v>
      </c>
      <c r="B354" t="s">
        <v>376</v>
      </c>
      <c r="C354">
        <v>1</v>
      </c>
      <c r="D354" t="s">
        <v>366</v>
      </c>
      <c r="E354" s="73"/>
      <c r="AA354" t="s">
        <v>377</v>
      </c>
      <c r="AB354" s="73">
        <v>46194</v>
      </c>
      <c r="AC354" t="s">
        <v>585</v>
      </c>
      <c r="AF354" t="s">
        <v>379</v>
      </c>
      <c r="AI354" t="s">
        <v>380</v>
      </c>
      <c r="AJ354">
        <v>0</v>
      </c>
      <c r="AK354" t="s">
        <v>372</v>
      </c>
      <c r="AP354" t="s">
        <v>374</v>
      </c>
      <c r="AQ354" s="73"/>
      <c r="BR354" s="73"/>
      <c r="CX354" s="73"/>
      <c r="EQ354" s="73"/>
    </row>
    <row r="355" spans="1:209" ht="14.25" customHeight="1" x14ac:dyDescent="0.25">
      <c r="A355" t="s">
        <v>591</v>
      </c>
      <c r="B355" t="s">
        <v>381</v>
      </c>
      <c r="C355">
        <v>1</v>
      </c>
      <c r="D355" t="s">
        <v>366</v>
      </c>
      <c r="E355" s="73"/>
      <c r="AB355" s="73"/>
      <c r="AQ355" s="73">
        <v>46194</v>
      </c>
      <c r="AR355" t="s">
        <v>397</v>
      </c>
      <c r="AU355" t="s">
        <v>384</v>
      </c>
      <c r="AV355" t="s">
        <v>384</v>
      </c>
      <c r="AW355" t="s">
        <v>384</v>
      </c>
      <c r="AX355" t="s">
        <v>383</v>
      </c>
      <c r="AY355" t="s">
        <v>383</v>
      </c>
      <c r="AZ355" t="s">
        <v>383</v>
      </c>
      <c r="BA355" t="s">
        <v>367</v>
      </c>
      <c r="BB355" t="s">
        <v>367</v>
      </c>
      <c r="BC355">
        <v>3</v>
      </c>
      <c r="BD355" t="s">
        <v>374</v>
      </c>
      <c r="BR355" s="73"/>
      <c r="CX355" s="73"/>
      <c r="EQ355" s="73"/>
    </row>
    <row r="356" spans="1:209" ht="14.25" customHeight="1" x14ac:dyDescent="0.25">
      <c r="A356" t="s">
        <v>592</v>
      </c>
      <c r="D356" t="s">
        <v>366</v>
      </c>
      <c r="E356" s="73">
        <v>46194</v>
      </c>
      <c r="F356" t="s">
        <v>367</v>
      </c>
      <c r="H356" t="s">
        <v>368</v>
      </c>
      <c r="I356" t="s">
        <v>368</v>
      </c>
      <c r="J356">
        <v>1999</v>
      </c>
      <c r="K356" t="s">
        <v>391</v>
      </c>
      <c r="L356" t="s">
        <v>370</v>
      </c>
      <c r="M356" t="s">
        <v>371</v>
      </c>
      <c r="N356" t="s">
        <v>371</v>
      </c>
      <c r="O356" t="s">
        <v>371</v>
      </c>
      <c r="P356" t="s">
        <v>371</v>
      </c>
      <c r="Q356" t="s">
        <v>371</v>
      </c>
      <c r="R356" t="s">
        <v>372</v>
      </c>
      <c r="S356" t="s">
        <v>372</v>
      </c>
      <c r="T356" t="s">
        <v>372</v>
      </c>
      <c r="U356" t="s">
        <v>367</v>
      </c>
      <c r="W356" t="s">
        <v>367</v>
      </c>
      <c r="X356" t="s">
        <v>399</v>
      </c>
      <c r="Y356" t="s">
        <v>396</v>
      </c>
      <c r="Z356" t="s">
        <v>374</v>
      </c>
      <c r="AB356" s="73"/>
      <c r="AQ356" s="73"/>
      <c r="BG356" t="s">
        <v>371</v>
      </c>
      <c r="BH356" t="s">
        <v>371</v>
      </c>
      <c r="BI356" t="s">
        <v>371</v>
      </c>
      <c r="BJ356" t="s">
        <v>371</v>
      </c>
      <c r="BK356" t="s">
        <v>371</v>
      </c>
      <c r="BL356" t="s">
        <v>371</v>
      </c>
      <c r="BM356" t="s">
        <v>371</v>
      </c>
      <c r="BN356" t="s">
        <v>371</v>
      </c>
      <c r="BO356" t="s">
        <v>371</v>
      </c>
      <c r="BQ356" t="s">
        <v>375</v>
      </c>
      <c r="BR356" s="73"/>
      <c r="CX356" s="73"/>
      <c r="EQ356" s="73"/>
      <c r="FT356">
        <v>0</v>
      </c>
      <c r="FZ356" t="s">
        <v>371</v>
      </c>
      <c r="GA356" t="s">
        <v>371</v>
      </c>
      <c r="GB356" t="s">
        <v>371</v>
      </c>
      <c r="GC356" t="s">
        <v>371</v>
      </c>
      <c r="GD356" t="s">
        <v>371</v>
      </c>
      <c r="GF356" t="s">
        <v>371</v>
      </c>
      <c r="GG356" t="s">
        <v>371</v>
      </c>
      <c r="GH356" t="s">
        <v>371</v>
      </c>
      <c r="GI356" t="s">
        <v>371</v>
      </c>
      <c r="GJ356" t="s">
        <v>371</v>
      </c>
      <c r="GK356" t="s">
        <v>371</v>
      </c>
      <c r="GN356" t="s">
        <v>371</v>
      </c>
      <c r="GO356" t="s">
        <v>371</v>
      </c>
      <c r="GP356" t="s">
        <v>371</v>
      </c>
      <c r="GQ356" t="s">
        <v>371</v>
      </c>
      <c r="GR356" t="s">
        <v>371</v>
      </c>
      <c r="GS356" t="s">
        <v>371</v>
      </c>
      <c r="GT356" t="s">
        <v>371</v>
      </c>
      <c r="GU356" t="s">
        <v>371</v>
      </c>
      <c r="GV356" t="s">
        <v>371</v>
      </c>
      <c r="GW356" t="s">
        <v>371</v>
      </c>
      <c r="GX356" t="s">
        <v>371</v>
      </c>
      <c r="HA356" t="s">
        <v>375</v>
      </c>
    </row>
    <row r="357" spans="1:209" ht="14.25" customHeight="1" x14ac:dyDescent="0.25">
      <c r="A357" t="s">
        <v>592</v>
      </c>
      <c r="B357" t="s">
        <v>376</v>
      </c>
      <c r="C357">
        <v>1</v>
      </c>
      <c r="D357" t="s">
        <v>366</v>
      </c>
      <c r="E357" s="73"/>
      <c r="AA357" t="s">
        <v>377</v>
      </c>
      <c r="AB357" s="73">
        <v>46194</v>
      </c>
      <c r="AC357" t="s">
        <v>585</v>
      </c>
      <c r="AF357" t="s">
        <v>379</v>
      </c>
      <c r="AI357" t="s">
        <v>380</v>
      </c>
      <c r="AJ357">
        <v>0</v>
      </c>
      <c r="AK357" t="s">
        <v>372</v>
      </c>
      <c r="AP357" t="s">
        <v>374</v>
      </c>
      <c r="AQ357" s="73"/>
      <c r="BR357" s="73"/>
      <c r="CX357" s="73"/>
      <c r="EQ357" s="73"/>
    </row>
    <row r="358" spans="1:209" ht="14.25" customHeight="1" x14ac:dyDescent="0.25">
      <c r="A358" t="s">
        <v>592</v>
      </c>
      <c r="B358" t="s">
        <v>381</v>
      </c>
      <c r="C358">
        <v>1</v>
      </c>
      <c r="D358" t="s">
        <v>366</v>
      </c>
      <c r="E358" s="73"/>
      <c r="AB358" s="73"/>
      <c r="AQ358" s="73">
        <v>46194</v>
      </c>
      <c r="AR358" t="s">
        <v>434</v>
      </c>
      <c r="AU358" t="s">
        <v>383</v>
      </c>
      <c r="AV358" t="s">
        <v>383</v>
      </c>
      <c r="AW358" t="s">
        <v>384</v>
      </c>
      <c r="AX358" t="s">
        <v>385</v>
      </c>
      <c r="AY358" t="s">
        <v>384</v>
      </c>
      <c r="AZ358" t="s">
        <v>383</v>
      </c>
      <c r="BA358" t="s">
        <v>367</v>
      </c>
      <c r="BB358" t="s">
        <v>367</v>
      </c>
      <c r="BC358">
        <v>5</v>
      </c>
      <c r="BD358" t="s">
        <v>374</v>
      </c>
      <c r="BR358" s="73"/>
      <c r="CX358" s="73"/>
      <c r="EQ358" s="73"/>
    </row>
    <row r="359" spans="1:209" ht="14.25" customHeight="1" x14ac:dyDescent="0.25">
      <c r="A359" t="s">
        <v>593</v>
      </c>
      <c r="D359" t="s">
        <v>366</v>
      </c>
      <c r="E359" s="73">
        <v>46194</v>
      </c>
      <c r="F359" t="s">
        <v>367</v>
      </c>
      <c r="H359" t="s">
        <v>403</v>
      </c>
      <c r="I359" t="s">
        <v>403</v>
      </c>
      <c r="J359">
        <v>2007</v>
      </c>
      <c r="K359" t="s">
        <v>448</v>
      </c>
      <c r="L359" t="s">
        <v>370</v>
      </c>
      <c r="M359" t="s">
        <v>371</v>
      </c>
      <c r="N359" t="s">
        <v>371</v>
      </c>
      <c r="O359" t="s">
        <v>371</v>
      </c>
      <c r="P359" t="s">
        <v>371</v>
      </c>
      <c r="Q359" t="s">
        <v>371</v>
      </c>
      <c r="R359" t="s">
        <v>372</v>
      </c>
      <c r="S359" t="s">
        <v>372</v>
      </c>
      <c r="T359" t="s">
        <v>372</v>
      </c>
      <c r="U359" t="s">
        <v>367</v>
      </c>
      <c r="W359" t="s">
        <v>367</v>
      </c>
      <c r="X359" t="s">
        <v>373</v>
      </c>
      <c r="Y359" t="s">
        <v>367</v>
      </c>
      <c r="Z359" t="s">
        <v>374</v>
      </c>
      <c r="AB359" s="73"/>
      <c r="AQ359" s="73"/>
      <c r="BG359" t="s">
        <v>371</v>
      </c>
      <c r="BH359" t="s">
        <v>371</v>
      </c>
      <c r="BI359" t="s">
        <v>371</v>
      </c>
      <c r="BJ359" t="s">
        <v>371</v>
      </c>
      <c r="BK359" t="s">
        <v>371</v>
      </c>
      <c r="BL359" t="s">
        <v>371</v>
      </c>
      <c r="BM359" t="s">
        <v>371</v>
      </c>
      <c r="BN359" t="s">
        <v>371</v>
      </c>
      <c r="BO359" t="s">
        <v>371</v>
      </c>
      <c r="BQ359" t="s">
        <v>375</v>
      </c>
      <c r="BR359" s="73"/>
      <c r="CX359" s="73"/>
      <c r="EQ359" s="73"/>
      <c r="FT359">
        <v>0</v>
      </c>
      <c r="FZ359" t="s">
        <v>371</v>
      </c>
      <c r="GA359" t="s">
        <v>371</v>
      </c>
      <c r="GB359" t="s">
        <v>371</v>
      </c>
      <c r="GC359" t="s">
        <v>371</v>
      </c>
      <c r="GD359" t="s">
        <v>371</v>
      </c>
      <c r="GF359" t="s">
        <v>371</v>
      </c>
      <c r="GG359" t="s">
        <v>371</v>
      </c>
      <c r="GH359" t="s">
        <v>371</v>
      </c>
      <c r="GI359" t="s">
        <v>371</v>
      </c>
      <c r="GJ359" t="s">
        <v>371</v>
      </c>
      <c r="GK359" t="s">
        <v>371</v>
      </c>
      <c r="GN359" t="s">
        <v>371</v>
      </c>
      <c r="GO359" t="s">
        <v>371</v>
      </c>
      <c r="GP359" t="s">
        <v>371</v>
      </c>
      <c r="GQ359" t="s">
        <v>371</v>
      </c>
      <c r="GR359" t="s">
        <v>371</v>
      </c>
      <c r="GS359" t="s">
        <v>371</v>
      </c>
      <c r="GT359" t="s">
        <v>371</v>
      </c>
      <c r="GU359" t="s">
        <v>371</v>
      </c>
      <c r="GV359" t="s">
        <v>371</v>
      </c>
      <c r="GW359" t="s">
        <v>371</v>
      </c>
      <c r="GX359" t="s">
        <v>371</v>
      </c>
      <c r="HA359" t="s">
        <v>375</v>
      </c>
    </row>
    <row r="360" spans="1:209" ht="14.25" customHeight="1" x14ac:dyDescent="0.25">
      <c r="A360" t="s">
        <v>593</v>
      </c>
      <c r="B360" t="s">
        <v>376</v>
      </c>
      <c r="C360">
        <v>1</v>
      </c>
      <c r="D360" t="s">
        <v>366</v>
      </c>
      <c r="E360" s="73"/>
      <c r="AA360" t="s">
        <v>377</v>
      </c>
      <c r="AB360" s="73">
        <v>46194</v>
      </c>
      <c r="AC360" t="s">
        <v>585</v>
      </c>
      <c r="AF360" t="s">
        <v>379</v>
      </c>
      <c r="AI360" t="s">
        <v>380</v>
      </c>
      <c r="AJ360">
        <v>0</v>
      </c>
      <c r="AK360" t="s">
        <v>367</v>
      </c>
      <c r="AP360" t="s">
        <v>374</v>
      </c>
      <c r="AQ360" s="73"/>
      <c r="BR360" s="73"/>
      <c r="CX360" s="73"/>
      <c r="EQ360" s="73"/>
    </row>
    <row r="361" spans="1:209" ht="14.25" customHeight="1" x14ac:dyDescent="0.25">
      <c r="A361" t="s">
        <v>594</v>
      </c>
      <c r="D361" t="s">
        <v>366</v>
      </c>
      <c r="E361" s="73">
        <v>46194</v>
      </c>
      <c r="F361" t="s">
        <v>367</v>
      </c>
      <c r="H361" t="s">
        <v>403</v>
      </c>
      <c r="I361" t="s">
        <v>403</v>
      </c>
      <c r="J361">
        <v>1983</v>
      </c>
      <c r="K361" t="s">
        <v>391</v>
      </c>
      <c r="L361" t="s">
        <v>371</v>
      </c>
      <c r="M361" t="s">
        <v>370</v>
      </c>
      <c r="N361" t="s">
        <v>371</v>
      </c>
      <c r="O361" t="s">
        <v>371</v>
      </c>
      <c r="P361" t="s">
        <v>371</v>
      </c>
      <c r="Q361" t="s">
        <v>371</v>
      </c>
      <c r="R361" t="s">
        <v>372</v>
      </c>
      <c r="S361" t="s">
        <v>372</v>
      </c>
      <c r="T361" t="s">
        <v>372</v>
      </c>
      <c r="U361" t="s">
        <v>367</v>
      </c>
      <c r="W361" t="s">
        <v>367</v>
      </c>
      <c r="X361" t="s">
        <v>373</v>
      </c>
      <c r="Y361" t="s">
        <v>421</v>
      </c>
      <c r="Z361" t="s">
        <v>374</v>
      </c>
      <c r="AB361" s="73"/>
      <c r="AQ361" s="73"/>
      <c r="BG361" t="s">
        <v>371</v>
      </c>
      <c r="BH361" t="s">
        <v>371</v>
      </c>
      <c r="BI361" t="s">
        <v>371</v>
      </c>
      <c r="BJ361" t="s">
        <v>371</v>
      </c>
      <c r="BK361" t="s">
        <v>371</v>
      </c>
      <c r="BL361" t="s">
        <v>371</v>
      </c>
      <c r="BM361" t="s">
        <v>371</v>
      </c>
      <c r="BN361" t="s">
        <v>371</v>
      </c>
      <c r="BO361" t="s">
        <v>371</v>
      </c>
      <c r="BQ361" t="s">
        <v>375</v>
      </c>
      <c r="BR361" s="73"/>
      <c r="CX361" s="73"/>
      <c r="EQ361" s="73"/>
      <c r="FT361">
        <v>0</v>
      </c>
      <c r="FZ361" t="s">
        <v>371</v>
      </c>
      <c r="GA361" t="s">
        <v>371</v>
      </c>
      <c r="GB361" t="s">
        <v>371</v>
      </c>
      <c r="GC361" t="s">
        <v>371</v>
      </c>
      <c r="GD361" t="s">
        <v>371</v>
      </c>
      <c r="GF361" t="s">
        <v>371</v>
      </c>
      <c r="GG361" t="s">
        <v>371</v>
      </c>
      <c r="GH361" t="s">
        <v>371</v>
      </c>
      <c r="GI361" t="s">
        <v>371</v>
      </c>
      <c r="GJ361" t="s">
        <v>371</v>
      </c>
      <c r="GK361" t="s">
        <v>371</v>
      </c>
      <c r="GN361" t="s">
        <v>371</v>
      </c>
      <c r="GO361" t="s">
        <v>371</v>
      </c>
      <c r="GP361" t="s">
        <v>371</v>
      </c>
      <c r="GQ361" t="s">
        <v>371</v>
      </c>
      <c r="GR361" t="s">
        <v>371</v>
      </c>
      <c r="GS361" t="s">
        <v>371</v>
      </c>
      <c r="GT361" t="s">
        <v>371</v>
      </c>
      <c r="GU361" t="s">
        <v>371</v>
      </c>
      <c r="GV361" t="s">
        <v>371</v>
      </c>
      <c r="GW361" t="s">
        <v>371</v>
      </c>
      <c r="GX361" t="s">
        <v>371</v>
      </c>
      <c r="HA361" t="s">
        <v>375</v>
      </c>
    </row>
    <row r="362" spans="1:209" ht="14.25" customHeight="1" x14ac:dyDescent="0.25">
      <c r="A362" t="s">
        <v>594</v>
      </c>
      <c r="B362" t="s">
        <v>376</v>
      </c>
      <c r="C362">
        <v>1</v>
      </c>
      <c r="D362" t="s">
        <v>366</v>
      </c>
      <c r="E362" s="73"/>
      <c r="AA362" t="s">
        <v>377</v>
      </c>
      <c r="AB362" s="73">
        <v>46194</v>
      </c>
      <c r="AC362" t="s">
        <v>585</v>
      </c>
      <c r="AF362" t="s">
        <v>379</v>
      </c>
      <c r="AI362" t="s">
        <v>400</v>
      </c>
      <c r="AJ362">
        <v>0</v>
      </c>
      <c r="AK362" t="s">
        <v>372</v>
      </c>
      <c r="AP362" t="s">
        <v>374</v>
      </c>
      <c r="AQ362" s="73"/>
      <c r="BR362" s="73"/>
      <c r="CX362" s="73"/>
      <c r="EQ362" s="73"/>
    </row>
    <row r="363" spans="1:209" ht="14.25" customHeight="1" x14ac:dyDescent="0.25">
      <c r="A363" t="s">
        <v>594</v>
      </c>
      <c r="B363" t="s">
        <v>381</v>
      </c>
      <c r="C363">
        <v>1</v>
      </c>
      <c r="D363" t="s">
        <v>366</v>
      </c>
      <c r="E363" s="73"/>
      <c r="AB363" s="73"/>
      <c r="AQ363" s="73">
        <v>46194</v>
      </c>
      <c r="AR363" t="s">
        <v>434</v>
      </c>
      <c r="AU363" t="s">
        <v>383</v>
      </c>
      <c r="AV363" t="s">
        <v>383</v>
      </c>
      <c r="AW363" t="s">
        <v>384</v>
      </c>
      <c r="AX363" t="s">
        <v>385</v>
      </c>
      <c r="AY363" t="s">
        <v>383</v>
      </c>
      <c r="AZ363" t="s">
        <v>383</v>
      </c>
      <c r="BA363" t="s">
        <v>367</v>
      </c>
      <c r="BB363" t="s">
        <v>367</v>
      </c>
      <c r="BC363">
        <v>6</v>
      </c>
      <c r="BD363" t="s">
        <v>374</v>
      </c>
      <c r="BR363" s="73"/>
      <c r="CX363" s="73"/>
      <c r="EQ363" s="73"/>
    </row>
    <row r="364" spans="1:209" ht="14.25" customHeight="1" x14ac:dyDescent="0.25">
      <c r="A364" t="s">
        <v>595</v>
      </c>
      <c r="D364" t="s">
        <v>366</v>
      </c>
      <c r="E364" s="73">
        <v>46194</v>
      </c>
      <c r="F364" t="s">
        <v>367</v>
      </c>
      <c r="H364" t="s">
        <v>403</v>
      </c>
      <c r="I364" t="s">
        <v>403</v>
      </c>
      <c r="J364">
        <v>1981</v>
      </c>
      <c r="K364" t="s">
        <v>391</v>
      </c>
      <c r="L364" t="s">
        <v>371</v>
      </c>
      <c r="M364" t="s">
        <v>371</v>
      </c>
      <c r="N364" t="s">
        <v>371</v>
      </c>
      <c r="O364" t="s">
        <v>371</v>
      </c>
      <c r="P364" t="s">
        <v>371</v>
      </c>
      <c r="Q364" t="s">
        <v>370</v>
      </c>
      <c r="R364" t="s">
        <v>372</v>
      </c>
      <c r="S364" t="s">
        <v>372</v>
      </c>
      <c r="T364" t="s">
        <v>372</v>
      </c>
      <c r="U364" t="s">
        <v>367</v>
      </c>
      <c r="W364" t="s">
        <v>367</v>
      </c>
      <c r="X364" t="s">
        <v>392</v>
      </c>
      <c r="Y364" t="s">
        <v>421</v>
      </c>
      <c r="Z364" t="s">
        <v>374</v>
      </c>
      <c r="AB364" s="73"/>
      <c r="AQ364" s="73"/>
      <c r="BG364" t="s">
        <v>371</v>
      </c>
      <c r="BH364" t="s">
        <v>371</v>
      </c>
      <c r="BI364" t="s">
        <v>371</v>
      </c>
      <c r="BJ364" t="s">
        <v>371</v>
      </c>
      <c r="BK364" t="s">
        <v>371</v>
      </c>
      <c r="BL364" t="s">
        <v>371</v>
      </c>
      <c r="BM364" t="s">
        <v>371</v>
      </c>
      <c r="BN364" t="s">
        <v>371</v>
      </c>
      <c r="BO364" t="s">
        <v>371</v>
      </c>
      <c r="BQ364" t="s">
        <v>375</v>
      </c>
      <c r="BR364" s="73"/>
      <c r="CX364" s="73"/>
      <c r="EQ364" s="73"/>
      <c r="FT364">
        <v>0</v>
      </c>
      <c r="FZ364" t="s">
        <v>371</v>
      </c>
      <c r="GA364" t="s">
        <v>371</v>
      </c>
      <c r="GB364" t="s">
        <v>371</v>
      </c>
      <c r="GC364" t="s">
        <v>371</v>
      </c>
      <c r="GD364" t="s">
        <v>371</v>
      </c>
      <c r="GF364" t="s">
        <v>371</v>
      </c>
      <c r="GG364" t="s">
        <v>371</v>
      </c>
      <c r="GH364" t="s">
        <v>371</v>
      </c>
      <c r="GI364" t="s">
        <v>371</v>
      </c>
      <c r="GJ364" t="s">
        <v>371</v>
      </c>
      <c r="GK364" t="s">
        <v>371</v>
      </c>
      <c r="GN364" t="s">
        <v>371</v>
      </c>
      <c r="GO364" t="s">
        <v>371</v>
      </c>
      <c r="GP364" t="s">
        <v>371</v>
      </c>
      <c r="GQ364" t="s">
        <v>371</v>
      </c>
      <c r="GR364" t="s">
        <v>371</v>
      </c>
      <c r="GS364" t="s">
        <v>371</v>
      </c>
      <c r="GT364" t="s">
        <v>371</v>
      </c>
      <c r="GU364" t="s">
        <v>371</v>
      </c>
      <c r="GV364" t="s">
        <v>371</v>
      </c>
      <c r="GW364" t="s">
        <v>371</v>
      </c>
      <c r="GX364" t="s">
        <v>371</v>
      </c>
      <c r="HA364" t="s">
        <v>375</v>
      </c>
    </row>
    <row r="365" spans="1:209" ht="14.25" customHeight="1" x14ac:dyDescent="0.25">
      <c r="A365" t="s">
        <v>595</v>
      </c>
      <c r="B365" t="s">
        <v>376</v>
      </c>
      <c r="C365">
        <v>1</v>
      </c>
      <c r="D365" t="s">
        <v>366</v>
      </c>
      <c r="E365" s="73"/>
      <c r="AA365" t="s">
        <v>377</v>
      </c>
      <c r="AB365" s="73">
        <v>46194</v>
      </c>
      <c r="AC365" t="s">
        <v>585</v>
      </c>
      <c r="AF365" t="s">
        <v>379</v>
      </c>
      <c r="AI365" t="s">
        <v>380</v>
      </c>
      <c r="AJ365">
        <v>0</v>
      </c>
      <c r="AK365" t="s">
        <v>372</v>
      </c>
      <c r="AP365" t="s">
        <v>374</v>
      </c>
      <c r="AQ365" s="73"/>
      <c r="BR365" s="73"/>
      <c r="CX365" s="73"/>
      <c r="EQ365" s="73"/>
    </row>
    <row r="366" spans="1:209" ht="14.25" customHeight="1" x14ac:dyDescent="0.25">
      <c r="A366" t="s">
        <v>595</v>
      </c>
      <c r="B366" t="s">
        <v>381</v>
      </c>
      <c r="C366">
        <v>1</v>
      </c>
      <c r="D366" t="s">
        <v>366</v>
      </c>
      <c r="E366" s="73"/>
      <c r="AB366" s="73"/>
      <c r="AQ366" s="73">
        <v>46194</v>
      </c>
      <c r="AR366" t="s">
        <v>397</v>
      </c>
      <c r="AU366" t="s">
        <v>383</v>
      </c>
      <c r="AV366" t="s">
        <v>383</v>
      </c>
      <c r="AW366" t="s">
        <v>384</v>
      </c>
      <c r="AX366" t="s">
        <v>385</v>
      </c>
      <c r="AY366" t="s">
        <v>383</v>
      </c>
      <c r="AZ366" t="s">
        <v>383</v>
      </c>
      <c r="BA366" t="s">
        <v>367</v>
      </c>
      <c r="BB366" t="s">
        <v>367</v>
      </c>
      <c r="BC366">
        <v>6</v>
      </c>
      <c r="BD366" t="s">
        <v>374</v>
      </c>
      <c r="BR366" s="73"/>
      <c r="CX366" s="73"/>
      <c r="EQ366" s="73"/>
    </row>
    <row r="367" spans="1:209" ht="14.25" customHeight="1" x14ac:dyDescent="0.25">
      <c r="A367" t="s">
        <v>596</v>
      </c>
      <c r="D367" t="s">
        <v>366</v>
      </c>
      <c r="E367" s="73">
        <v>46194</v>
      </c>
      <c r="F367" t="s">
        <v>372</v>
      </c>
      <c r="G367" t="s">
        <v>597</v>
      </c>
      <c r="H367" t="s">
        <v>403</v>
      </c>
      <c r="I367" t="s">
        <v>403</v>
      </c>
      <c r="J367">
        <v>2007</v>
      </c>
      <c r="K367" t="s">
        <v>448</v>
      </c>
      <c r="L367" t="s">
        <v>371</v>
      </c>
      <c r="M367" t="s">
        <v>370</v>
      </c>
      <c r="N367" t="s">
        <v>371</v>
      </c>
      <c r="O367" t="s">
        <v>371</v>
      </c>
      <c r="P367" t="s">
        <v>371</v>
      </c>
      <c r="Q367" t="s">
        <v>371</v>
      </c>
      <c r="R367" t="s">
        <v>372</v>
      </c>
      <c r="S367" t="s">
        <v>372</v>
      </c>
      <c r="T367" t="s">
        <v>372</v>
      </c>
      <c r="U367" t="s">
        <v>372</v>
      </c>
      <c r="V367" t="s">
        <v>367</v>
      </c>
      <c r="W367" t="s">
        <v>367</v>
      </c>
      <c r="X367" t="s">
        <v>373</v>
      </c>
      <c r="Y367" t="s">
        <v>367</v>
      </c>
      <c r="Z367" t="s">
        <v>374</v>
      </c>
      <c r="AB367" s="73"/>
      <c r="AQ367" s="73"/>
      <c r="BG367" t="s">
        <v>371</v>
      </c>
      <c r="BH367" t="s">
        <v>371</v>
      </c>
      <c r="BI367" t="s">
        <v>371</v>
      </c>
      <c r="BJ367" t="s">
        <v>371</v>
      </c>
      <c r="BK367" t="s">
        <v>371</v>
      </c>
      <c r="BL367" t="s">
        <v>371</v>
      </c>
      <c r="BM367" t="s">
        <v>371</v>
      </c>
      <c r="BN367" t="s">
        <v>371</v>
      </c>
      <c r="BO367" t="s">
        <v>371</v>
      </c>
      <c r="BQ367" t="s">
        <v>375</v>
      </c>
      <c r="BR367" s="73"/>
      <c r="CX367" s="73"/>
      <c r="EQ367" s="73"/>
      <c r="FT367">
        <v>0</v>
      </c>
      <c r="FZ367" t="s">
        <v>371</v>
      </c>
      <c r="GA367" t="s">
        <v>371</v>
      </c>
      <c r="GB367" t="s">
        <v>371</v>
      </c>
      <c r="GC367" t="s">
        <v>371</v>
      </c>
      <c r="GD367" t="s">
        <v>371</v>
      </c>
      <c r="GF367" t="s">
        <v>371</v>
      </c>
      <c r="GG367" t="s">
        <v>371</v>
      </c>
      <c r="GH367" t="s">
        <v>371</v>
      </c>
      <c r="GI367" t="s">
        <v>371</v>
      </c>
      <c r="GJ367" t="s">
        <v>371</v>
      </c>
      <c r="GK367" t="s">
        <v>371</v>
      </c>
      <c r="GN367" t="s">
        <v>371</v>
      </c>
      <c r="GO367" t="s">
        <v>371</v>
      </c>
      <c r="GP367" t="s">
        <v>371</v>
      </c>
      <c r="GQ367" t="s">
        <v>371</v>
      </c>
      <c r="GR367" t="s">
        <v>371</v>
      </c>
      <c r="GS367" t="s">
        <v>371</v>
      </c>
      <c r="GT367" t="s">
        <v>371</v>
      </c>
      <c r="GU367" t="s">
        <v>371</v>
      </c>
      <c r="GV367" t="s">
        <v>371</v>
      </c>
      <c r="GW367" t="s">
        <v>371</v>
      </c>
      <c r="GX367" t="s">
        <v>371</v>
      </c>
      <c r="HA367" t="s">
        <v>375</v>
      </c>
    </row>
    <row r="368" spans="1:209" ht="14.25" customHeight="1" x14ac:dyDescent="0.25">
      <c r="A368" t="s">
        <v>596</v>
      </c>
      <c r="B368" t="s">
        <v>381</v>
      </c>
      <c r="C368">
        <v>1</v>
      </c>
      <c r="D368" t="s">
        <v>366</v>
      </c>
      <c r="E368" s="73"/>
      <c r="AB368" s="73"/>
      <c r="AQ368" s="73">
        <v>46194</v>
      </c>
      <c r="AR368" t="s">
        <v>378</v>
      </c>
      <c r="AU368" t="s">
        <v>383</v>
      </c>
      <c r="AV368" t="s">
        <v>383</v>
      </c>
      <c r="AW368" t="s">
        <v>384</v>
      </c>
      <c r="AX368" t="s">
        <v>385</v>
      </c>
      <c r="AY368" t="s">
        <v>384</v>
      </c>
      <c r="AZ368" t="s">
        <v>384</v>
      </c>
      <c r="BA368" t="s">
        <v>372</v>
      </c>
      <c r="BB368" t="s">
        <v>367</v>
      </c>
      <c r="BC368">
        <v>6</v>
      </c>
      <c r="BD368" t="s">
        <v>374</v>
      </c>
      <c r="BR368" s="73"/>
      <c r="CX368" s="73"/>
      <c r="EQ368" s="73"/>
    </row>
    <row r="369" spans="1:209" ht="14.25" customHeight="1" x14ac:dyDescent="0.25">
      <c r="A369" t="s">
        <v>596</v>
      </c>
      <c r="B369" t="s">
        <v>410</v>
      </c>
      <c r="C369">
        <v>1</v>
      </c>
      <c r="D369" t="s">
        <v>366</v>
      </c>
      <c r="E369" s="73"/>
      <c r="AB369" s="73"/>
      <c r="AQ369" s="73"/>
      <c r="BR369" s="73"/>
      <c r="CX369" s="73">
        <v>46195</v>
      </c>
      <c r="CY369" t="s">
        <v>411</v>
      </c>
      <c r="CZ369" t="s">
        <v>412</v>
      </c>
      <c r="DA369" t="s">
        <v>413</v>
      </c>
      <c r="DC369" t="s">
        <v>440</v>
      </c>
      <c r="DE369" t="s">
        <v>441</v>
      </c>
      <c r="DF369" t="s">
        <v>598</v>
      </c>
      <c r="DG369" t="s">
        <v>372</v>
      </c>
      <c r="DH369" t="s">
        <v>372</v>
      </c>
      <c r="DI369" t="s">
        <v>372</v>
      </c>
      <c r="DJ369" t="s">
        <v>599</v>
      </c>
      <c r="DK369" t="s">
        <v>371</v>
      </c>
      <c r="DL369" t="s">
        <v>370</v>
      </c>
      <c r="DM369" t="s">
        <v>371</v>
      </c>
      <c r="DN369" t="s">
        <v>371</v>
      </c>
      <c r="DO369" t="s">
        <v>372</v>
      </c>
      <c r="DP369" t="s">
        <v>600</v>
      </c>
      <c r="DQ369" t="s">
        <v>371</v>
      </c>
      <c r="DR369" t="s">
        <v>371</v>
      </c>
      <c r="DS369" t="s">
        <v>371</v>
      </c>
      <c r="DT369" t="s">
        <v>371</v>
      </c>
      <c r="DU369" t="s">
        <v>371</v>
      </c>
      <c r="DV369" t="s">
        <v>371</v>
      </c>
      <c r="DW369" t="s">
        <v>371</v>
      </c>
      <c r="DX369" t="s">
        <v>371</v>
      </c>
      <c r="DY369" t="s">
        <v>371</v>
      </c>
      <c r="DZ369" t="s">
        <v>371</v>
      </c>
      <c r="EA369" t="s">
        <v>371</v>
      </c>
      <c r="EB369" t="s">
        <v>371</v>
      </c>
      <c r="EC369" t="s">
        <v>371</v>
      </c>
      <c r="ED369" t="s">
        <v>371</v>
      </c>
      <c r="EE369" t="s">
        <v>371</v>
      </c>
      <c r="EF369" t="s">
        <v>371</v>
      </c>
      <c r="EG369" t="s">
        <v>371</v>
      </c>
      <c r="EH369" t="s">
        <v>371</v>
      </c>
      <c r="EI369" t="s">
        <v>601</v>
      </c>
      <c r="EJ369" t="s">
        <v>371</v>
      </c>
      <c r="EK369" t="s">
        <v>371</v>
      </c>
      <c r="EL369" t="s">
        <v>371</v>
      </c>
      <c r="EM369" t="s">
        <v>371</v>
      </c>
      <c r="EN369" t="s">
        <v>371</v>
      </c>
      <c r="EO369" t="s">
        <v>371</v>
      </c>
      <c r="EQ369" s="73">
        <v>46196</v>
      </c>
      <c r="ER369" t="s">
        <v>602</v>
      </c>
      <c r="ES369" t="s">
        <v>375</v>
      </c>
    </row>
    <row r="370" spans="1:209" ht="14.25" customHeight="1" x14ac:dyDescent="0.25">
      <c r="A370" t="s">
        <v>603</v>
      </c>
      <c r="D370" t="s">
        <v>366</v>
      </c>
      <c r="E370" s="73">
        <v>46194</v>
      </c>
      <c r="F370" t="s">
        <v>372</v>
      </c>
      <c r="G370" t="s">
        <v>604</v>
      </c>
      <c r="H370" t="s">
        <v>368</v>
      </c>
      <c r="I370" t="s">
        <v>368</v>
      </c>
      <c r="J370">
        <v>1974</v>
      </c>
      <c r="K370" t="s">
        <v>391</v>
      </c>
      <c r="L370" t="s">
        <v>371</v>
      </c>
      <c r="M370" t="s">
        <v>370</v>
      </c>
      <c r="N370" t="s">
        <v>371</v>
      </c>
      <c r="O370" t="s">
        <v>371</v>
      </c>
      <c r="P370" t="s">
        <v>371</v>
      </c>
      <c r="Q370" t="s">
        <v>371</v>
      </c>
      <c r="R370" t="s">
        <v>372</v>
      </c>
      <c r="S370" t="s">
        <v>372</v>
      </c>
      <c r="T370" t="s">
        <v>372</v>
      </c>
      <c r="U370" t="s">
        <v>367</v>
      </c>
      <c r="W370" t="s">
        <v>372</v>
      </c>
      <c r="X370" t="s">
        <v>392</v>
      </c>
      <c r="Y370" t="s">
        <v>396</v>
      </c>
      <c r="Z370" t="s">
        <v>374</v>
      </c>
      <c r="AB370" s="73"/>
      <c r="AQ370" s="73"/>
      <c r="BG370" t="s">
        <v>371</v>
      </c>
      <c r="BH370" t="s">
        <v>371</v>
      </c>
      <c r="BI370" t="s">
        <v>371</v>
      </c>
      <c r="BJ370" t="s">
        <v>371</v>
      </c>
      <c r="BK370" t="s">
        <v>371</v>
      </c>
      <c r="BL370" t="s">
        <v>371</v>
      </c>
      <c r="BM370" t="s">
        <v>371</v>
      </c>
      <c r="BN370" t="s">
        <v>371</v>
      </c>
      <c r="BO370" t="s">
        <v>371</v>
      </c>
      <c r="BQ370" t="s">
        <v>375</v>
      </c>
      <c r="BR370" s="73"/>
      <c r="CX370" s="73"/>
      <c r="EQ370" s="73"/>
      <c r="FT370">
        <v>0</v>
      </c>
      <c r="FZ370" t="s">
        <v>371</v>
      </c>
      <c r="GA370" t="s">
        <v>371</v>
      </c>
      <c r="GB370" t="s">
        <v>371</v>
      </c>
      <c r="GC370" t="s">
        <v>371</v>
      </c>
      <c r="GD370" t="s">
        <v>371</v>
      </c>
      <c r="GF370" t="s">
        <v>371</v>
      </c>
      <c r="GG370" t="s">
        <v>371</v>
      </c>
      <c r="GH370" t="s">
        <v>371</v>
      </c>
      <c r="GI370" t="s">
        <v>371</v>
      </c>
      <c r="GJ370" t="s">
        <v>371</v>
      </c>
      <c r="GK370" t="s">
        <v>371</v>
      </c>
      <c r="GN370" t="s">
        <v>371</v>
      </c>
      <c r="GO370" t="s">
        <v>371</v>
      </c>
      <c r="GP370" t="s">
        <v>371</v>
      </c>
      <c r="GQ370" t="s">
        <v>371</v>
      </c>
      <c r="GR370" t="s">
        <v>371</v>
      </c>
      <c r="GS370" t="s">
        <v>371</v>
      </c>
      <c r="GT370" t="s">
        <v>371</v>
      </c>
      <c r="GU370" t="s">
        <v>371</v>
      </c>
      <c r="GV370" t="s">
        <v>371</v>
      </c>
      <c r="GW370" t="s">
        <v>371</v>
      </c>
      <c r="GX370" t="s">
        <v>371</v>
      </c>
      <c r="HA370" t="s">
        <v>375</v>
      </c>
    </row>
    <row r="371" spans="1:209" ht="14.25" customHeight="1" x14ac:dyDescent="0.25">
      <c r="A371" t="s">
        <v>603</v>
      </c>
      <c r="B371" t="s">
        <v>381</v>
      </c>
      <c r="C371">
        <v>1</v>
      </c>
      <c r="D371" t="s">
        <v>366</v>
      </c>
      <c r="E371" s="73"/>
      <c r="AB371" s="73"/>
      <c r="AQ371" s="73">
        <v>46194</v>
      </c>
      <c r="AR371" t="s">
        <v>378</v>
      </c>
      <c r="AU371" t="s">
        <v>385</v>
      </c>
      <c r="AV371" t="s">
        <v>385</v>
      </c>
      <c r="AW371" t="s">
        <v>383</v>
      </c>
      <c r="AX371" t="s">
        <v>383</v>
      </c>
      <c r="AY371" t="s">
        <v>383</v>
      </c>
      <c r="AZ371" t="s">
        <v>383</v>
      </c>
      <c r="BA371" t="s">
        <v>372</v>
      </c>
      <c r="BB371" t="s">
        <v>372</v>
      </c>
      <c r="BC371">
        <v>12</v>
      </c>
      <c r="BD371" t="s">
        <v>374</v>
      </c>
      <c r="BR371" s="73"/>
      <c r="CX371" s="73"/>
      <c r="EQ371" s="73"/>
    </row>
    <row r="372" spans="1:209" ht="14.25" customHeight="1" x14ac:dyDescent="0.25">
      <c r="A372" t="s">
        <v>603</v>
      </c>
      <c r="B372" t="s">
        <v>410</v>
      </c>
      <c r="C372">
        <v>1</v>
      </c>
      <c r="D372" t="s">
        <v>366</v>
      </c>
      <c r="E372" s="73"/>
      <c r="AB372" s="73"/>
      <c r="AQ372" s="73"/>
      <c r="BR372" s="73"/>
      <c r="CX372" s="73">
        <v>46195</v>
      </c>
      <c r="CY372" t="s">
        <v>411</v>
      </c>
      <c r="CZ372" t="s">
        <v>412</v>
      </c>
      <c r="DA372" t="s">
        <v>413</v>
      </c>
      <c r="DC372" t="s">
        <v>414</v>
      </c>
      <c r="DE372" t="s">
        <v>441</v>
      </c>
      <c r="DG372" t="s">
        <v>367</v>
      </c>
      <c r="DH372" t="s">
        <v>367</v>
      </c>
      <c r="DI372" t="s">
        <v>372</v>
      </c>
      <c r="DJ372" t="s">
        <v>605</v>
      </c>
      <c r="DK372" t="s">
        <v>370</v>
      </c>
      <c r="DL372" t="s">
        <v>371</v>
      </c>
      <c r="DM372" t="s">
        <v>371</v>
      </c>
      <c r="DN372" t="s">
        <v>371</v>
      </c>
      <c r="DO372" t="s">
        <v>372</v>
      </c>
      <c r="DP372" t="s">
        <v>442</v>
      </c>
      <c r="DQ372" t="s">
        <v>371</v>
      </c>
      <c r="DR372" t="s">
        <v>370</v>
      </c>
      <c r="DS372" t="s">
        <v>371</v>
      </c>
      <c r="DT372" t="s">
        <v>371</v>
      </c>
      <c r="DU372" t="s">
        <v>371</v>
      </c>
      <c r="DV372" t="s">
        <v>371</v>
      </c>
      <c r="DW372" t="s">
        <v>371</v>
      </c>
      <c r="DX372" t="s">
        <v>371</v>
      </c>
      <c r="DY372" t="s">
        <v>371</v>
      </c>
      <c r="DZ372" t="s">
        <v>371</v>
      </c>
      <c r="EA372" t="s">
        <v>371</v>
      </c>
      <c r="EB372" t="s">
        <v>370</v>
      </c>
      <c r="EC372" t="s">
        <v>371</v>
      </c>
      <c r="ED372" t="s">
        <v>371</v>
      </c>
      <c r="EE372" t="s">
        <v>371</v>
      </c>
      <c r="EF372" t="s">
        <v>371</v>
      </c>
      <c r="EG372" t="s">
        <v>371</v>
      </c>
      <c r="EH372" t="s">
        <v>371</v>
      </c>
      <c r="EI372" t="s">
        <v>606</v>
      </c>
      <c r="EJ372" t="s">
        <v>370</v>
      </c>
      <c r="EK372" t="s">
        <v>370</v>
      </c>
      <c r="EL372" t="s">
        <v>370</v>
      </c>
      <c r="EM372" t="s">
        <v>370</v>
      </c>
      <c r="EN372" t="s">
        <v>370</v>
      </c>
      <c r="EO372" t="s">
        <v>371</v>
      </c>
      <c r="EQ372" s="73">
        <v>46225</v>
      </c>
      <c r="ER372" t="s">
        <v>607</v>
      </c>
      <c r="ES372" t="s">
        <v>374</v>
      </c>
    </row>
    <row r="373" spans="1:209" ht="14.25" customHeight="1" x14ac:dyDescent="0.25">
      <c r="A373" t="s">
        <v>608</v>
      </c>
      <c r="D373" t="s">
        <v>366</v>
      </c>
      <c r="E373" s="73">
        <v>46194</v>
      </c>
      <c r="F373" t="s">
        <v>367</v>
      </c>
      <c r="H373" t="s">
        <v>368</v>
      </c>
      <c r="I373" t="s">
        <v>368</v>
      </c>
      <c r="J373">
        <v>1987</v>
      </c>
      <c r="K373" t="s">
        <v>369</v>
      </c>
      <c r="L373" t="s">
        <v>370</v>
      </c>
      <c r="M373" t="s">
        <v>371</v>
      </c>
      <c r="N373" t="s">
        <v>371</v>
      </c>
      <c r="O373" t="s">
        <v>371</v>
      </c>
      <c r="P373" t="s">
        <v>371</v>
      </c>
      <c r="Q373" t="s">
        <v>371</v>
      </c>
      <c r="R373" t="s">
        <v>372</v>
      </c>
      <c r="S373" t="s">
        <v>372</v>
      </c>
      <c r="T373" t="s">
        <v>367</v>
      </c>
      <c r="U373" t="s">
        <v>367</v>
      </c>
      <c r="W373" t="s">
        <v>367</v>
      </c>
      <c r="X373" t="s">
        <v>399</v>
      </c>
      <c r="Y373" t="s">
        <v>421</v>
      </c>
      <c r="Z373" t="s">
        <v>374</v>
      </c>
      <c r="AB373" s="73"/>
      <c r="AQ373" s="73"/>
      <c r="BG373" t="s">
        <v>371</v>
      </c>
      <c r="BH373" t="s">
        <v>371</v>
      </c>
      <c r="BI373" t="s">
        <v>371</v>
      </c>
      <c r="BJ373" t="s">
        <v>371</v>
      </c>
      <c r="BK373" t="s">
        <v>371</v>
      </c>
      <c r="BL373" t="s">
        <v>371</v>
      </c>
      <c r="BM373" t="s">
        <v>371</v>
      </c>
      <c r="BN373" t="s">
        <v>371</v>
      </c>
      <c r="BO373" t="s">
        <v>371</v>
      </c>
      <c r="BQ373" t="s">
        <v>375</v>
      </c>
      <c r="BR373" s="73"/>
      <c r="CX373" s="73"/>
      <c r="EQ373" s="73"/>
      <c r="FT373">
        <v>0</v>
      </c>
      <c r="FZ373" t="s">
        <v>371</v>
      </c>
      <c r="GA373" t="s">
        <v>371</v>
      </c>
      <c r="GB373" t="s">
        <v>371</v>
      </c>
      <c r="GC373" t="s">
        <v>371</v>
      </c>
      <c r="GD373" t="s">
        <v>371</v>
      </c>
      <c r="GF373" t="s">
        <v>371</v>
      </c>
      <c r="GG373" t="s">
        <v>371</v>
      </c>
      <c r="GH373" t="s">
        <v>371</v>
      </c>
      <c r="GI373" t="s">
        <v>371</v>
      </c>
      <c r="GJ373" t="s">
        <v>371</v>
      </c>
      <c r="GK373" t="s">
        <v>371</v>
      </c>
      <c r="GN373" t="s">
        <v>371</v>
      </c>
      <c r="GO373" t="s">
        <v>371</v>
      </c>
      <c r="GP373" t="s">
        <v>371</v>
      </c>
      <c r="GQ373" t="s">
        <v>371</v>
      </c>
      <c r="GR373" t="s">
        <v>371</v>
      </c>
      <c r="GS373" t="s">
        <v>371</v>
      </c>
      <c r="GT373" t="s">
        <v>371</v>
      </c>
      <c r="GU373" t="s">
        <v>371</v>
      </c>
      <c r="GV373" t="s">
        <v>371</v>
      </c>
      <c r="GW373" t="s">
        <v>371</v>
      </c>
      <c r="GX373" t="s">
        <v>371</v>
      </c>
      <c r="HA373" t="s">
        <v>375</v>
      </c>
    </row>
    <row r="374" spans="1:209" ht="14.25" customHeight="1" x14ac:dyDescent="0.25">
      <c r="A374" t="s">
        <v>608</v>
      </c>
      <c r="B374" t="s">
        <v>381</v>
      </c>
      <c r="C374">
        <v>1</v>
      </c>
      <c r="D374" t="s">
        <v>366</v>
      </c>
      <c r="E374" s="73"/>
      <c r="AB374" s="73"/>
      <c r="AQ374" s="73">
        <v>46194</v>
      </c>
      <c r="AR374" t="s">
        <v>378</v>
      </c>
      <c r="AU374" t="s">
        <v>385</v>
      </c>
      <c r="AV374" t="s">
        <v>383</v>
      </c>
      <c r="AW374" t="s">
        <v>383</v>
      </c>
      <c r="AX374" t="s">
        <v>385</v>
      </c>
      <c r="AY374" t="s">
        <v>384</v>
      </c>
      <c r="AZ374" t="s">
        <v>383</v>
      </c>
      <c r="BA374" t="s">
        <v>367</v>
      </c>
      <c r="BB374" t="s">
        <v>372</v>
      </c>
      <c r="BC374">
        <v>9</v>
      </c>
      <c r="BD374" t="s">
        <v>374</v>
      </c>
      <c r="BR374" s="73"/>
      <c r="CX374" s="73"/>
      <c r="EQ374" s="73"/>
    </row>
    <row r="375" spans="1:209" ht="14.25" customHeight="1" x14ac:dyDescent="0.25">
      <c r="A375" t="s">
        <v>609</v>
      </c>
      <c r="D375" t="s">
        <v>366</v>
      </c>
      <c r="E375" s="73">
        <v>46194</v>
      </c>
      <c r="F375" t="s">
        <v>367</v>
      </c>
      <c r="H375" t="s">
        <v>403</v>
      </c>
      <c r="I375" t="s">
        <v>403</v>
      </c>
      <c r="J375">
        <v>1992</v>
      </c>
      <c r="K375" t="s">
        <v>448</v>
      </c>
      <c r="L375" t="s">
        <v>371</v>
      </c>
      <c r="M375" t="s">
        <v>370</v>
      </c>
      <c r="N375" t="s">
        <v>371</v>
      </c>
      <c r="O375" t="s">
        <v>371</v>
      </c>
      <c r="P375" t="s">
        <v>371</v>
      </c>
      <c r="Q375" t="s">
        <v>371</v>
      </c>
      <c r="R375" t="s">
        <v>372</v>
      </c>
      <c r="S375" t="s">
        <v>372</v>
      </c>
      <c r="T375" t="s">
        <v>367</v>
      </c>
      <c r="U375" t="s">
        <v>367</v>
      </c>
      <c r="W375" t="s">
        <v>367</v>
      </c>
      <c r="X375" t="s">
        <v>432</v>
      </c>
      <c r="Y375" t="s">
        <v>396</v>
      </c>
      <c r="Z375" t="s">
        <v>374</v>
      </c>
      <c r="AB375" s="73"/>
      <c r="AQ375" s="73"/>
      <c r="BG375" t="s">
        <v>371</v>
      </c>
      <c r="BH375" t="s">
        <v>371</v>
      </c>
      <c r="BI375" t="s">
        <v>371</v>
      </c>
      <c r="BJ375" t="s">
        <v>371</v>
      </c>
      <c r="BK375" t="s">
        <v>371</v>
      </c>
      <c r="BL375" t="s">
        <v>371</v>
      </c>
      <c r="BM375" t="s">
        <v>371</v>
      </c>
      <c r="BN375" t="s">
        <v>371</v>
      </c>
      <c r="BO375" t="s">
        <v>371</v>
      </c>
      <c r="BQ375" t="s">
        <v>375</v>
      </c>
      <c r="BR375" s="73"/>
      <c r="CX375" s="73"/>
      <c r="EQ375" s="73"/>
      <c r="FT375">
        <v>0</v>
      </c>
      <c r="FZ375" t="s">
        <v>371</v>
      </c>
      <c r="GA375" t="s">
        <v>371</v>
      </c>
      <c r="GB375" t="s">
        <v>371</v>
      </c>
      <c r="GC375" t="s">
        <v>371</v>
      </c>
      <c r="GD375" t="s">
        <v>371</v>
      </c>
      <c r="GF375" t="s">
        <v>371</v>
      </c>
      <c r="GG375" t="s">
        <v>371</v>
      </c>
      <c r="GH375" t="s">
        <v>371</v>
      </c>
      <c r="GI375" t="s">
        <v>371</v>
      </c>
      <c r="GJ375" t="s">
        <v>371</v>
      </c>
      <c r="GK375" t="s">
        <v>371</v>
      </c>
      <c r="GN375" t="s">
        <v>371</v>
      </c>
      <c r="GO375" t="s">
        <v>371</v>
      </c>
      <c r="GP375" t="s">
        <v>371</v>
      </c>
      <c r="GQ375" t="s">
        <v>371</v>
      </c>
      <c r="GR375" t="s">
        <v>371</v>
      </c>
      <c r="GS375" t="s">
        <v>371</v>
      </c>
      <c r="GT375" t="s">
        <v>371</v>
      </c>
      <c r="GU375" t="s">
        <v>371</v>
      </c>
      <c r="GV375" t="s">
        <v>371</v>
      </c>
      <c r="GW375" t="s">
        <v>371</v>
      </c>
      <c r="GX375" t="s">
        <v>371</v>
      </c>
      <c r="HA375" t="s">
        <v>375</v>
      </c>
    </row>
    <row r="376" spans="1:209" ht="14.25" customHeight="1" x14ac:dyDescent="0.25">
      <c r="A376" t="s">
        <v>609</v>
      </c>
      <c r="B376" t="s">
        <v>376</v>
      </c>
      <c r="C376">
        <v>1</v>
      </c>
      <c r="D376" t="s">
        <v>366</v>
      </c>
      <c r="E376" s="73"/>
      <c r="AA376" t="s">
        <v>377</v>
      </c>
      <c r="AB376" s="73">
        <v>46194</v>
      </c>
      <c r="AC376" t="s">
        <v>585</v>
      </c>
      <c r="AF376" t="s">
        <v>379</v>
      </c>
      <c r="AI376" t="s">
        <v>610</v>
      </c>
      <c r="AJ376">
        <v>0</v>
      </c>
      <c r="AK376" t="s">
        <v>372</v>
      </c>
      <c r="AP376" t="s">
        <v>374</v>
      </c>
      <c r="AQ376" s="73"/>
      <c r="BR376" s="73"/>
      <c r="CX376" s="73"/>
      <c r="EQ376" s="73"/>
    </row>
    <row r="377" spans="1:209" ht="14.25" customHeight="1" x14ac:dyDescent="0.25">
      <c r="A377" t="s">
        <v>609</v>
      </c>
      <c r="B377" t="s">
        <v>381</v>
      </c>
      <c r="C377">
        <v>1</v>
      </c>
      <c r="D377" t="s">
        <v>366</v>
      </c>
      <c r="E377" s="73"/>
      <c r="AB377" s="73"/>
      <c r="AQ377" s="73">
        <v>46194</v>
      </c>
      <c r="AR377" t="s">
        <v>434</v>
      </c>
      <c r="AU377" t="s">
        <v>383</v>
      </c>
      <c r="AV377" t="s">
        <v>383</v>
      </c>
      <c r="AW377" t="s">
        <v>384</v>
      </c>
      <c r="AX377" t="s">
        <v>404</v>
      </c>
      <c r="AY377" t="s">
        <v>383</v>
      </c>
      <c r="AZ377" t="s">
        <v>384</v>
      </c>
      <c r="BA377" t="s">
        <v>367</v>
      </c>
      <c r="BB377" t="s">
        <v>367</v>
      </c>
      <c r="BC377">
        <v>6</v>
      </c>
      <c r="BD377" t="s">
        <v>374</v>
      </c>
      <c r="BR377" s="73"/>
      <c r="CX377" s="73"/>
      <c r="EQ377" s="73"/>
    </row>
    <row r="378" spans="1:209" ht="14.25" customHeight="1" x14ac:dyDescent="0.25">
      <c r="A378" t="s">
        <v>611</v>
      </c>
      <c r="D378" t="s">
        <v>366</v>
      </c>
      <c r="E378" s="73">
        <v>46194</v>
      </c>
      <c r="F378" t="s">
        <v>367</v>
      </c>
      <c r="H378" t="s">
        <v>368</v>
      </c>
      <c r="I378" t="s">
        <v>368</v>
      </c>
      <c r="J378">
        <v>1980</v>
      </c>
      <c r="K378" t="s">
        <v>391</v>
      </c>
      <c r="L378" t="s">
        <v>371</v>
      </c>
      <c r="M378" t="s">
        <v>370</v>
      </c>
      <c r="N378" t="s">
        <v>371</v>
      </c>
      <c r="O378" t="s">
        <v>371</v>
      </c>
      <c r="P378" t="s">
        <v>371</v>
      </c>
      <c r="Q378" t="s">
        <v>371</v>
      </c>
      <c r="R378" t="s">
        <v>372</v>
      </c>
      <c r="S378" t="s">
        <v>372</v>
      </c>
      <c r="T378" t="s">
        <v>372</v>
      </c>
      <c r="U378" t="s">
        <v>367</v>
      </c>
      <c r="W378" t="s">
        <v>372</v>
      </c>
      <c r="X378" t="s">
        <v>399</v>
      </c>
      <c r="Y378" t="s">
        <v>421</v>
      </c>
      <c r="Z378" t="s">
        <v>374</v>
      </c>
      <c r="AB378" s="73"/>
      <c r="AQ378" s="73"/>
      <c r="BG378" t="s">
        <v>371</v>
      </c>
      <c r="BH378" t="s">
        <v>371</v>
      </c>
      <c r="BI378" t="s">
        <v>371</v>
      </c>
      <c r="BJ378" t="s">
        <v>371</v>
      </c>
      <c r="BK378" t="s">
        <v>371</v>
      </c>
      <c r="BL378" t="s">
        <v>371</v>
      </c>
      <c r="BM378" t="s">
        <v>371</v>
      </c>
      <c r="BN378" t="s">
        <v>371</v>
      </c>
      <c r="BO378" t="s">
        <v>371</v>
      </c>
      <c r="BQ378" t="s">
        <v>375</v>
      </c>
      <c r="BR378" s="73"/>
      <c r="CX378" s="73"/>
      <c r="EQ378" s="73"/>
      <c r="FT378">
        <v>0</v>
      </c>
      <c r="FZ378" t="s">
        <v>371</v>
      </c>
      <c r="GA378" t="s">
        <v>371</v>
      </c>
      <c r="GB378" t="s">
        <v>371</v>
      </c>
      <c r="GC378" t="s">
        <v>371</v>
      </c>
      <c r="GD378" t="s">
        <v>371</v>
      </c>
      <c r="GF378" t="s">
        <v>371</v>
      </c>
      <c r="GG378" t="s">
        <v>371</v>
      </c>
      <c r="GH378" t="s">
        <v>371</v>
      </c>
      <c r="GI378" t="s">
        <v>371</v>
      </c>
      <c r="GJ378" t="s">
        <v>371</v>
      </c>
      <c r="GK378" t="s">
        <v>371</v>
      </c>
      <c r="GN378" t="s">
        <v>371</v>
      </c>
      <c r="GO378" t="s">
        <v>371</v>
      </c>
      <c r="GP378" t="s">
        <v>371</v>
      </c>
      <c r="GQ378" t="s">
        <v>371</v>
      </c>
      <c r="GR378" t="s">
        <v>371</v>
      </c>
      <c r="GS378" t="s">
        <v>371</v>
      </c>
      <c r="GT378" t="s">
        <v>371</v>
      </c>
      <c r="GU378" t="s">
        <v>371</v>
      </c>
      <c r="GV378" t="s">
        <v>371</v>
      </c>
      <c r="GW378" t="s">
        <v>371</v>
      </c>
      <c r="GX378" t="s">
        <v>371</v>
      </c>
      <c r="HA378" t="s">
        <v>375</v>
      </c>
    </row>
    <row r="379" spans="1:209" ht="14.25" customHeight="1" x14ac:dyDescent="0.25">
      <c r="A379" t="s">
        <v>611</v>
      </c>
      <c r="B379" t="s">
        <v>376</v>
      </c>
      <c r="C379">
        <v>1</v>
      </c>
      <c r="D379" t="s">
        <v>366</v>
      </c>
      <c r="E379" s="73"/>
      <c r="AA379" t="s">
        <v>377</v>
      </c>
      <c r="AB379" s="73">
        <v>46194</v>
      </c>
      <c r="AC379" t="s">
        <v>585</v>
      </c>
      <c r="AF379" t="s">
        <v>379</v>
      </c>
      <c r="AI379" t="s">
        <v>610</v>
      </c>
      <c r="AJ379">
        <v>0</v>
      </c>
      <c r="AK379" t="s">
        <v>372</v>
      </c>
      <c r="AP379" t="s">
        <v>374</v>
      </c>
      <c r="AQ379" s="73"/>
      <c r="BR379" s="73"/>
      <c r="CX379" s="73"/>
      <c r="EQ379" s="73"/>
    </row>
    <row r="380" spans="1:209" ht="14.25" customHeight="1" x14ac:dyDescent="0.25">
      <c r="A380" t="s">
        <v>611</v>
      </c>
      <c r="B380" t="s">
        <v>381</v>
      </c>
      <c r="C380">
        <v>1</v>
      </c>
      <c r="D380" t="s">
        <v>366</v>
      </c>
      <c r="E380" s="73"/>
      <c r="AB380" s="73"/>
      <c r="AQ380" s="73">
        <v>46194</v>
      </c>
      <c r="AR380" t="s">
        <v>397</v>
      </c>
      <c r="AU380" t="s">
        <v>383</v>
      </c>
      <c r="AV380" t="s">
        <v>384</v>
      </c>
      <c r="AW380" t="s">
        <v>384</v>
      </c>
      <c r="AX380" t="s">
        <v>383</v>
      </c>
      <c r="AY380" t="s">
        <v>383</v>
      </c>
      <c r="AZ380" t="s">
        <v>383</v>
      </c>
      <c r="BA380" t="s">
        <v>367</v>
      </c>
      <c r="BB380" t="s">
        <v>372</v>
      </c>
      <c r="BC380">
        <v>6</v>
      </c>
      <c r="BD380" t="s">
        <v>374</v>
      </c>
      <c r="BR380" s="73"/>
      <c r="CX380" s="73"/>
      <c r="EQ380" s="73"/>
    </row>
    <row r="381" spans="1:209" ht="14.25" customHeight="1" x14ac:dyDescent="0.25">
      <c r="A381" t="s">
        <v>612</v>
      </c>
      <c r="D381" t="s">
        <v>366</v>
      </c>
      <c r="E381" s="73">
        <v>46194</v>
      </c>
      <c r="F381" t="s">
        <v>367</v>
      </c>
      <c r="H381" t="s">
        <v>403</v>
      </c>
      <c r="I381" t="s">
        <v>403</v>
      </c>
      <c r="J381">
        <v>1982</v>
      </c>
      <c r="K381" t="s">
        <v>448</v>
      </c>
      <c r="L381" t="s">
        <v>370</v>
      </c>
      <c r="M381" t="s">
        <v>371</v>
      </c>
      <c r="N381" t="s">
        <v>371</v>
      </c>
      <c r="O381" t="s">
        <v>371</v>
      </c>
      <c r="P381" t="s">
        <v>371</v>
      </c>
      <c r="Q381" t="s">
        <v>371</v>
      </c>
      <c r="R381" t="s">
        <v>372</v>
      </c>
      <c r="S381" t="s">
        <v>372</v>
      </c>
      <c r="T381" t="s">
        <v>372</v>
      </c>
      <c r="U381" t="s">
        <v>367</v>
      </c>
      <c r="W381" t="s">
        <v>367</v>
      </c>
      <c r="X381" t="s">
        <v>399</v>
      </c>
      <c r="Y381" t="s">
        <v>421</v>
      </c>
      <c r="Z381" t="s">
        <v>374</v>
      </c>
      <c r="AB381" s="73"/>
      <c r="AQ381" s="73"/>
      <c r="BG381" t="s">
        <v>371</v>
      </c>
      <c r="BH381" t="s">
        <v>371</v>
      </c>
      <c r="BI381" t="s">
        <v>371</v>
      </c>
      <c r="BJ381" t="s">
        <v>371</v>
      </c>
      <c r="BK381" t="s">
        <v>371</v>
      </c>
      <c r="BL381" t="s">
        <v>371</v>
      </c>
      <c r="BM381" t="s">
        <v>371</v>
      </c>
      <c r="BN381" t="s">
        <v>371</v>
      </c>
      <c r="BO381" t="s">
        <v>371</v>
      </c>
      <c r="BQ381" t="s">
        <v>375</v>
      </c>
      <c r="BR381" s="73"/>
      <c r="CX381" s="73"/>
      <c r="EQ381" s="73"/>
      <c r="FT381">
        <v>0</v>
      </c>
      <c r="FZ381" t="s">
        <v>371</v>
      </c>
      <c r="GA381" t="s">
        <v>371</v>
      </c>
      <c r="GB381" t="s">
        <v>371</v>
      </c>
      <c r="GC381" t="s">
        <v>371</v>
      </c>
      <c r="GD381" t="s">
        <v>371</v>
      </c>
      <c r="GF381" t="s">
        <v>371</v>
      </c>
      <c r="GG381" t="s">
        <v>371</v>
      </c>
      <c r="GH381" t="s">
        <v>371</v>
      </c>
      <c r="GI381" t="s">
        <v>371</v>
      </c>
      <c r="GJ381" t="s">
        <v>371</v>
      </c>
      <c r="GK381" t="s">
        <v>371</v>
      </c>
      <c r="GN381" t="s">
        <v>371</v>
      </c>
      <c r="GO381" t="s">
        <v>371</v>
      </c>
      <c r="GP381" t="s">
        <v>371</v>
      </c>
      <c r="GQ381" t="s">
        <v>371</v>
      </c>
      <c r="GR381" t="s">
        <v>371</v>
      </c>
      <c r="GS381" t="s">
        <v>371</v>
      </c>
      <c r="GT381" t="s">
        <v>371</v>
      </c>
      <c r="GU381" t="s">
        <v>371</v>
      </c>
      <c r="GV381" t="s">
        <v>371</v>
      </c>
      <c r="GW381" t="s">
        <v>371</v>
      </c>
      <c r="GX381" t="s">
        <v>371</v>
      </c>
      <c r="HA381" t="s">
        <v>375</v>
      </c>
    </row>
    <row r="382" spans="1:209" ht="14.25" customHeight="1" x14ac:dyDescent="0.25">
      <c r="A382" t="s">
        <v>612</v>
      </c>
      <c r="B382" t="s">
        <v>376</v>
      </c>
      <c r="C382">
        <v>1</v>
      </c>
      <c r="D382" t="s">
        <v>366</v>
      </c>
      <c r="E382" s="73"/>
      <c r="AA382" t="s">
        <v>377</v>
      </c>
      <c r="AB382" s="73">
        <v>46194</v>
      </c>
      <c r="AC382" t="s">
        <v>585</v>
      </c>
      <c r="AF382" t="s">
        <v>379</v>
      </c>
      <c r="AI382" t="s">
        <v>610</v>
      </c>
      <c r="AJ382">
        <v>0</v>
      </c>
      <c r="AK382" t="s">
        <v>372</v>
      </c>
      <c r="AP382" t="s">
        <v>374</v>
      </c>
      <c r="AQ382" s="73"/>
      <c r="BR382" s="73"/>
      <c r="CX382" s="73"/>
      <c r="EQ382" s="73"/>
    </row>
    <row r="383" spans="1:209" ht="14.25" customHeight="1" x14ac:dyDescent="0.25">
      <c r="A383" t="s">
        <v>612</v>
      </c>
      <c r="B383" t="s">
        <v>381</v>
      </c>
      <c r="C383">
        <v>1</v>
      </c>
      <c r="D383" t="s">
        <v>366</v>
      </c>
      <c r="E383" s="73"/>
      <c r="AB383" s="73"/>
      <c r="AQ383" s="73">
        <v>46194</v>
      </c>
      <c r="AR383" t="s">
        <v>434</v>
      </c>
      <c r="AU383" t="s">
        <v>384</v>
      </c>
      <c r="AV383" t="s">
        <v>383</v>
      </c>
      <c r="AW383" t="s">
        <v>384</v>
      </c>
      <c r="AX383" t="s">
        <v>385</v>
      </c>
      <c r="AY383" t="s">
        <v>384</v>
      </c>
      <c r="AZ383" t="s">
        <v>383</v>
      </c>
      <c r="BA383" t="s">
        <v>367</v>
      </c>
      <c r="BB383" t="s">
        <v>367</v>
      </c>
      <c r="BC383">
        <v>4</v>
      </c>
      <c r="BD383" t="s">
        <v>374</v>
      </c>
      <c r="BR383" s="73"/>
      <c r="CX383" s="73"/>
      <c r="EQ383" s="73"/>
    </row>
    <row r="384" spans="1:209" ht="14.25" customHeight="1" x14ac:dyDescent="0.25">
      <c r="A384" t="s">
        <v>613</v>
      </c>
      <c r="D384" t="s">
        <v>366</v>
      </c>
      <c r="E384" s="73">
        <v>46194</v>
      </c>
      <c r="F384" t="s">
        <v>367</v>
      </c>
      <c r="H384" t="s">
        <v>403</v>
      </c>
      <c r="I384" t="s">
        <v>403</v>
      </c>
      <c r="J384">
        <v>2007</v>
      </c>
      <c r="K384" t="s">
        <v>448</v>
      </c>
      <c r="L384" t="s">
        <v>370</v>
      </c>
      <c r="M384" t="s">
        <v>371</v>
      </c>
      <c r="N384" t="s">
        <v>371</v>
      </c>
      <c r="O384" t="s">
        <v>371</v>
      </c>
      <c r="P384" t="s">
        <v>371</v>
      </c>
      <c r="Q384" t="s">
        <v>371</v>
      </c>
      <c r="R384" t="s">
        <v>372</v>
      </c>
      <c r="S384" t="s">
        <v>372</v>
      </c>
      <c r="T384" t="s">
        <v>372</v>
      </c>
      <c r="U384" t="s">
        <v>367</v>
      </c>
      <c r="W384" t="s">
        <v>367</v>
      </c>
      <c r="X384" t="s">
        <v>373</v>
      </c>
      <c r="Y384" t="s">
        <v>367</v>
      </c>
      <c r="Z384" t="s">
        <v>374</v>
      </c>
      <c r="AB384" s="73"/>
      <c r="AQ384" s="73"/>
      <c r="BG384" t="s">
        <v>371</v>
      </c>
      <c r="BH384" t="s">
        <v>371</v>
      </c>
      <c r="BI384" t="s">
        <v>371</v>
      </c>
      <c r="BJ384" t="s">
        <v>371</v>
      </c>
      <c r="BK384" t="s">
        <v>371</v>
      </c>
      <c r="BL384" t="s">
        <v>371</v>
      </c>
      <c r="BM384" t="s">
        <v>371</v>
      </c>
      <c r="BN384" t="s">
        <v>371</v>
      </c>
      <c r="BO384" t="s">
        <v>371</v>
      </c>
      <c r="BQ384" t="s">
        <v>375</v>
      </c>
      <c r="BR384" s="73"/>
      <c r="CX384" s="73"/>
      <c r="EQ384" s="73"/>
      <c r="FT384">
        <v>0</v>
      </c>
      <c r="FZ384" t="s">
        <v>371</v>
      </c>
      <c r="GA384" t="s">
        <v>371</v>
      </c>
      <c r="GB384" t="s">
        <v>371</v>
      </c>
      <c r="GC384" t="s">
        <v>371</v>
      </c>
      <c r="GD384" t="s">
        <v>371</v>
      </c>
      <c r="GF384" t="s">
        <v>371</v>
      </c>
      <c r="GG384" t="s">
        <v>371</v>
      </c>
      <c r="GH384" t="s">
        <v>371</v>
      </c>
      <c r="GI384" t="s">
        <v>371</v>
      </c>
      <c r="GJ384" t="s">
        <v>371</v>
      </c>
      <c r="GK384" t="s">
        <v>371</v>
      </c>
      <c r="GN384" t="s">
        <v>371</v>
      </c>
      <c r="GO384" t="s">
        <v>371</v>
      </c>
      <c r="GP384" t="s">
        <v>371</v>
      </c>
      <c r="GQ384" t="s">
        <v>371</v>
      </c>
      <c r="GR384" t="s">
        <v>371</v>
      </c>
      <c r="GS384" t="s">
        <v>371</v>
      </c>
      <c r="GT384" t="s">
        <v>371</v>
      </c>
      <c r="GU384" t="s">
        <v>371</v>
      </c>
      <c r="GV384" t="s">
        <v>371</v>
      </c>
      <c r="GW384" t="s">
        <v>371</v>
      </c>
      <c r="GX384" t="s">
        <v>371</v>
      </c>
      <c r="HA384" t="s">
        <v>375</v>
      </c>
    </row>
    <row r="385" spans="1:209" ht="14.25" customHeight="1" x14ac:dyDescent="0.25">
      <c r="A385" t="s">
        <v>613</v>
      </c>
      <c r="B385" t="s">
        <v>376</v>
      </c>
      <c r="C385">
        <v>1</v>
      </c>
      <c r="D385" t="s">
        <v>366</v>
      </c>
      <c r="E385" s="73"/>
      <c r="AA385" t="s">
        <v>377</v>
      </c>
      <c r="AB385" s="73">
        <v>46194</v>
      </c>
      <c r="AC385" t="s">
        <v>585</v>
      </c>
      <c r="AF385" t="s">
        <v>379</v>
      </c>
      <c r="AI385" t="s">
        <v>610</v>
      </c>
      <c r="AJ385">
        <v>0</v>
      </c>
      <c r="AK385" t="s">
        <v>372</v>
      </c>
      <c r="AP385" t="s">
        <v>374</v>
      </c>
      <c r="AQ385" s="73"/>
      <c r="BR385" s="73"/>
      <c r="CX385" s="73"/>
      <c r="EQ385" s="73"/>
    </row>
    <row r="386" spans="1:209" ht="14.25" customHeight="1" x14ac:dyDescent="0.25">
      <c r="A386" t="s">
        <v>613</v>
      </c>
      <c r="B386" t="s">
        <v>381</v>
      </c>
      <c r="C386">
        <v>1</v>
      </c>
      <c r="D386" t="s">
        <v>366</v>
      </c>
      <c r="E386" s="73"/>
      <c r="AB386" s="73"/>
      <c r="AQ386" s="73">
        <v>46194</v>
      </c>
      <c r="AR386" t="s">
        <v>434</v>
      </c>
      <c r="AU386" t="s">
        <v>383</v>
      </c>
      <c r="AV386" t="s">
        <v>384</v>
      </c>
      <c r="AW386" t="s">
        <v>384</v>
      </c>
      <c r="AX386" t="s">
        <v>383</v>
      </c>
      <c r="AY386" t="s">
        <v>383</v>
      </c>
      <c r="AZ386" t="s">
        <v>384</v>
      </c>
      <c r="BA386" t="s">
        <v>367</v>
      </c>
      <c r="BB386" t="s">
        <v>367</v>
      </c>
      <c r="BC386">
        <v>3</v>
      </c>
      <c r="BD386" t="s">
        <v>374</v>
      </c>
      <c r="BR386" s="73"/>
      <c r="CX386" s="73"/>
      <c r="EQ386" s="73"/>
    </row>
    <row r="387" spans="1:209" ht="14.25" customHeight="1" x14ac:dyDescent="0.25">
      <c r="A387" t="s">
        <v>614</v>
      </c>
      <c r="D387" t="s">
        <v>366</v>
      </c>
      <c r="E387" s="73">
        <v>46194</v>
      </c>
      <c r="F387" t="s">
        <v>367</v>
      </c>
      <c r="H387" t="s">
        <v>368</v>
      </c>
      <c r="I387" t="s">
        <v>368</v>
      </c>
      <c r="J387">
        <v>1980</v>
      </c>
      <c r="K387" t="s">
        <v>391</v>
      </c>
      <c r="L387" t="s">
        <v>370</v>
      </c>
      <c r="M387" t="s">
        <v>371</v>
      </c>
      <c r="N387" t="s">
        <v>371</v>
      </c>
      <c r="O387" t="s">
        <v>371</v>
      </c>
      <c r="P387" t="s">
        <v>371</v>
      </c>
      <c r="Q387" t="s">
        <v>371</v>
      </c>
      <c r="R387" t="s">
        <v>372</v>
      </c>
      <c r="S387" t="s">
        <v>372</v>
      </c>
      <c r="T387" t="s">
        <v>372</v>
      </c>
      <c r="U387" t="s">
        <v>367</v>
      </c>
      <c r="W387" t="s">
        <v>367</v>
      </c>
      <c r="X387" t="s">
        <v>399</v>
      </c>
      <c r="Y387" t="s">
        <v>367</v>
      </c>
      <c r="Z387" t="s">
        <v>374</v>
      </c>
      <c r="AB387" s="73"/>
      <c r="AQ387" s="73"/>
      <c r="BG387" t="s">
        <v>371</v>
      </c>
      <c r="BH387" t="s">
        <v>371</v>
      </c>
      <c r="BI387" t="s">
        <v>371</v>
      </c>
      <c r="BJ387" t="s">
        <v>371</v>
      </c>
      <c r="BK387" t="s">
        <v>371</v>
      </c>
      <c r="BL387" t="s">
        <v>371</v>
      </c>
      <c r="BM387" t="s">
        <v>371</v>
      </c>
      <c r="BN387" t="s">
        <v>371</v>
      </c>
      <c r="BO387" t="s">
        <v>371</v>
      </c>
      <c r="BQ387" t="s">
        <v>375</v>
      </c>
      <c r="BR387" s="73"/>
      <c r="CX387" s="73"/>
      <c r="EQ387" s="73"/>
      <c r="FT387">
        <v>0</v>
      </c>
      <c r="FZ387" t="s">
        <v>371</v>
      </c>
      <c r="GA387" t="s">
        <v>371</v>
      </c>
      <c r="GB387" t="s">
        <v>371</v>
      </c>
      <c r="GC387" t="s">
        <v>371</v>
      </c>
      <c r="GD387" t="s">
        <v>371</v>
      </c>
      <c r="GF387" t="s">
        <v>371</v>
      </c>
      <c r="GG387" t="s">
        <v>371</v>
      </c>
      <c r="GH387" t="s">
        <v>371</v>
      </c>
      <c r="GI387" t="s">
        <v>371</v>
      </c>
      <c r="GJ387" t="s">
        <v>371</v>
      </c>
      <c r="GK387" t="s">
        <v>371</v>
      </c>
      <c r="GN387" t="s">
        <v>371</v>
      </c>
      <c r="GO387" t="s">
        <v>371</v>
      </c>
      <c r="GP387" t="s">
        <v>371</v>
      </c>
      <c r="GQ387" t="s">
        <v>371</v>
      </c>
      <c r="GR387" t="s">
        <v>371</v>
      </c>
      <c r="GS387" t="s">
        <v>371</v>
      </c>
      <c r="GT387" t="s">
        <v>371</v>
      </c>
      <c r="GU387" t="s">
        <v>371</v>
      </c>
      <c r="GV387" t="s">
        <v>371</v>
      </c>
      <c r="GW387" t="s">
        <v>371</v>
      </c>
      <c r="GX387" t="s">
        <v>371</v>
      </c>
      <c r="HA387" t="s">
        <v>375</v>
      </c>
    </row>
    <row r="388" spans="1:209" ht="14.25" customHeight="1" x14ac:dyDescent="0.25">
      <c r="A388" t="s">
        <v>614</v>
      </c>
      <c r="B388" t="s">
        <v>376</v>
      </c>
      <c r="C388">
        <v>1</v>
      </c>
      <c r="D388" t="s">
        <v>366</v>
      </c>
      <c r="E388" s="73"/>
      <c r="AA388" t="s">
        <v>377</v>
      </c>
      <c r="AB388" s="73">
        <v>46194</v>
      </c>
      <c r="AC388" t="s">
        <v>585</v>
      </c>
      <c r="AF388" t="s">
        <v>379</v>
      </c>
      <c r="AI388" t="s">
        <v>610</v>
      </c>
      <c r="AJ388">
        <v>0</v>
      </c>
      <c r="AK388" t="s">
        <v>372</v>
      </c>
      <c r="AP388" t="s">
        <v>374</v>
      </c>
      <c r="AQ388" s="73"/>
      <c r="BR388" s="73"/>
      <c r="CX388" s="73"/>
      <c r="EQ388" s="73"/>
    </row>
    <row r="389" spans="1:209" ht="14.25" customHeight="1" x14ac:dyDescent="0.25">
      <c r="A389" t="s">
        <v>614</v>
      </c>
      <c r="B389" t="s">
        <v>381</v>
      </c>
      <c r="C389">
        <v>1</v>
      </c>
      <c r="D389" t="s">
        <v>366</v>
      </c>
      <c r="E389" s="73"/>
      <c r="AB389" s="73"/>
      <c r="AQ389" s="73">
        <v>46194</v>
      </c>
      <c r="AR389" t="s">
        <v>378</v>
      </c>
      <c r="AU389" t="s">
        <v>383</v>
      </c>
      <c r="AV389" t="s">
        <v>384</v>
      </c>
      <c r="AW389" t="s">
        <v>384</v>
      </c>
      <c r="AX389" t="s">
        <v>383</v>
      </c>
      <c r="AY389" t="s">
        <v>384</v>
      </c>
      <c r="AZ389" t="s">
        <v>383</v>
      </c>
      <c r="BA389" t="s">
        <v>367</v>
      </c>
      <c r="BB389" t="s">
        <v>367</v>
      </c>
      <c r="BC389">
        <v>3</v>
      </c>
      <c r="BD389" t="s">
        <v>374</v>
      </c>
      <c r="BR389" s="73"/>
      <c r="CX389" s="73"/>
      <c r="EQ389" s="73"/>
    </row>
    <row r="390" spans="1:209" ht="14.25" customHeight="1" x14ac:dyDescent="0.25">
      <c r="A390" t="s">
        <v>615</v>
      </c>
      <c r="D390" t="s">
        <v>366</v>
      </c>
      <c r="E390" s="73">
        <v>46194</v>
      </c>
      <c r="F390" t="s">
        <v>367</v>
      </c>
      <c r="H390" t="s">
        <v>403</v>
      </c>
      <c r="I390" t="s">
        <v>403</v>
      </c>
      <c r="J390">
        <v>1983</v>
      </c>
      <c r="K390" t="s">
        <v>448</v>
      </c>
      <c r="L390" t="s">
        <v>371</v>
      </c>
      <c r="M390" t="s">
        <v>371</v>
      </c>
      <c r="N390" t="s">
        <v>370</v>
      </c>
      <c r="O390" t="s">
        <v>371</v>
      </c>
      <c r="P390" t="s">
        <v>371</v>
      </c>
      <c r="Q390" t="s">
        <v>371</v>
      </c>
      <c r="R390" t="s">
        <v>372</v>
      </c>
      <c r="S390" t="s">
        <v>372</v>
      </c>
      <c r="T390" t="s">
        <v>372</v>
      </c>
      <c r="U390" t="s">
        <v>367</v>
      </c>
      <c r="W390" t="s">
        <v>367</v>
      </c>
      <c r="X390" t="s">
        <v>399</v>
      </c>
      <c r="Y390" t="s">
        <v>396</v>
      </c>
      <c r="Z390" t="s">
        <v>374</v>
      </c>
      <c r="AB390" s="73"/>
      <c r="AQ390" s="73"/>
      <c r="BG390" t="s">
        <v>371</v>
      </c>
      <c r="BH390" t="s">
        <v>371</v>
      </c>
      <c r="BI390" t="s">
        <v>371</v>
      </c>
      <c r="BJ390" t="s">
        <v>371</v>
      </c>
      <c r="BK390" t="s">
        <v>371</v>
      </c>
      <c r="BL390" t="s">
        <v>371</v>
      </c>
      <c r="BM390" t="s">
        <v>371</v>
      </c>
      <c r="BN390" t="s">
        <v>371</v>
      </c>
      <c r="BO390" t="s">
        <v>371</v>
      </c>
      <c r="BQ390" t="s">
        <v>375</v>
      </c>
      <c r="BR390" s="73"/>
      <c r="CX390" s="73"/>
      <c r="EQ390" s="73"/>
      <c r="FT390">
        <v>0</v>
      </c>
      <c r="FZ390" t="s">
        <v>371</v>
      </c>
      <c r="GA390" t="s">
        <v>371</v>
      </c>
      <c r="GB390" t="s">
        <v>371</v>
      </c>
      <c r="GC390" t="s">
        <v>371</v>
      </c>
      <c r="GD390" t="s">
        <v>371</v>
      </c>
      <c r="GF390" t="s">
        <v>371</v>
      </c>
      <c r="GG390" t="s">
        <v>371</v>
      </c>
      <c r="GH390" t="s">
        <v>371</v>
      </c>
      <c r="GI390" t="s">
        <v>371</v>
      </c>
      <c r="GJ390" t="s">
        <v>371</v>
      </c>
      <c r="GK390" t="s">
        <v>371</v>
      </c>
      <c r="GN390" t="s">
        <v>371</v>
      </c>
      <c r="GO390" t="s">
        <v>371</v>
      </c>
      <c r="GP390" t="s">
        <v>371</v>
      </c>
      <c r="GQ390" t="s">
        <v>371</v>
      </c>
      <c r="GR390" t="s">
        <v>371</v>
      </c>
      <c r="GS390" t="s">
        <v>371</v>
      </c>
      <c r="GT390" t="s">
        <v>371</v>
      </c>
      <c r="GU390" t="s">
        <v>371</v>
      </c>
      <c r="GV390" t="s">
        <v>371</v>
      </c>
      <c r="GW390" t="s">
        <v>371</v>
      </c>
      <c r="GX390" t="s">
        <v>371</v>
      </c>
      <c r="HA390" t="s">
        <v>375</v>
      </c>
    </row>
    <row r="391" spans="1:209" ht="14.25" customHeight="1" x14ac:dyDescent="0.25">
      <c r="A391" t="s">
        <v>615</v>
      </c>
      <c r="B391" t="s">
        <v>376</v>
      </c>
      <c r="C391">
        <v>1</v>
      </c>
      <c r="D391" t="s">
        <v>366</v>
      </c>
      <c r="E391" s="73"/>
      <c r="AA391" t="s">
        <v>377</v>
      </c>
      <c r="AB391" s="73">
        <v>46194</v>
      </c>
      <c r="AC391" t="s">
        <v>585</v>
      </c>
      <c r="AF391" t="s">
        <v>379</v>
      </c>
      <c r="AI391" t="s">
        <v>610</v>
      </c>
      <c r="AJ391">
        <v>0</v>
      </c>
      <c r="AK391" t="s">
        <v>372</v>
      </c>
      <c r="AP391" t="s">
        <v>374</v>
      </c>
      <c r="AQ391" s="73"/>
      <c r="BR391" s="73"/>
      <c r="CX391" s="73"/>
      <c r="EQ391" s="73"/>
    </row>
    <row r="392" spans="1:209" ht="14.25" customHeight="1" x14ac:dyDescent="0.25">
      <c r="A392" t="s">
        <v>615</v>
      </c>
      <c r="B392" t="s">
        <v>381</v>
      </c>
      <c r="C392">
        <v>1</v>
      </c>
      <c r="D392" t="s">
        <v>366</v>
      </c>
      <c r="E392" s="73"/>
      <c r="AB392" s="73"/>
      <c r="AQ392" s="73">
        <v>46194</v>
      </c>
      <c r="AR392" t="s">
        <v>397</v>
      </c>
      <c r="AU392" t="s">
        <v>384</v>
      </c>
      <c r="AV392" t="s">
        <v>383</v>
      </c>
      <c r="AW392" t="s">
        <v>384</v>
      </c>
      <c r="AX392" t="s">
        <v>385</v>
      </c>
      <c r="AY392" t="s">
        <v>384</v>
      </c>
      <c r="AZ392" t="s">
        <v>384</v>
      </c>
      <c r="BA392" t="s">
        <v>367</v>
      </c>
      <c r="BB392" t="s">
        <v>367</v>
      </c>
      <c r="BC392">
        <v>3</v>
      </c>
      <c r="BD392" t="s">
        <v>374</v>
      </c>
      <c r="BR392" s="73"/>
      <c r="CX392" s="73"/>
      <c r="EQ392" s="73"/>
    </row>
    <row r="393" spans="1:209" ht="14.25" customHeight="1" x14ac:dyDescent="0.25">
      <c r="A393" t="s">
        <v>616</v>
      </c>
      <c r="D393" t="s">
        <v>366</v>
      </c>
      <c r="E393" s="73">
        <v>46194</v>
      </c>
      <c r="F393" t="s">
        <v>367</v>
      </c>
      <c r="H393" t="s">
        <v>368</v>
      </c>
      <c r="I393" t="s">
        <v>368</v>
      </c>
      <c r="J393">
        <v>2007</v>
      </c>
      <c r="K393" t="s">
        <v>369</v>
      </c>
      <c r="L393" t="s">
        <v>370</v>
      </c>
      <c r="M393" t="s">
        <v>371</v>
      </c>
      <c r="N393" t="s">
        <v>371</v>
      </c>
      <c r="O393" t="s">
        <v>371</v>
      </c>
      <c r="P393" t="s">
        <v>371</v>
      </c>
      <c r="Q393" t="s">
        <v>371</v>
      </c>
      <c r="R393" t="s">
        <v>372</v>
      </c>
      <c r="S393" t="s">
        <v>372</v>
      </c>
      <c r="T393" t="s">
        <v>372</v>
      </c>
      <c r="U393" t="s">
        <v>367</v>
      </c>
      <c r="W393" t="s">
        <v>367</v>
      </c>
      <c r="X393" t="s">
        <v>373</v>
      </c>
      <c r="Y393" t="s">
        <v>367</v>
      </c>
      <c r="Z393" t="s">
        <v>374</v>
      </c>
      <c r="AB393" s="73"/>
      <c r="AQ393" s="73"/>
      <c r="BG393" t="s">
        <v>371</v>
      </c>
      <c r="BH393" t="s">
        <v>371</v>
      </c>
      <c r="BI393" t="s">
        <v>371</v>
      </c>
      <c r="BJ393" t="s">
        <v>371</v>
      </c>
      <c r="BK393" t="s">
        <v>371</v>
      </c>
      <c r="BL393" t="s">
        <v>371</v>
      </c>
      <c r="BM393" t="s">
        <v>371</v>
      </c>
      <c r="BN393" t="s">
        <v>371</v>
      </c>
      <c r="BO393" t="s">
        <v>371</v>
      </c>
      <c r="BQ393" t="s">
        <v>375</v>
      </c>
      <c r="BR393" s="73"/>
      <c r="CX393" s="73"/>
      <c r="EQ393" s="73"/>
      <c r="FT393">
        <v>0</v>
      </c>
      <c r="FZ393" t="s">
        <v>371</v>
      </c>
      <c r="GA393" t="s">
        <v>371</v>
      </c>
      <c r="GB393" t="s">
        <v>371</v>
      </c>
      <c r="GC393" t="s">
        <v>371</v>
      </c>
      <c r="GD393" t="s">
        <v>371</v>
      </c>
      <c r="GF393" t="s">
        <v>371</v>
      </c>
      <c r="GG393" t="s">
        <v>371</v>
      </c>
      <c r="GH393" t="s">
        <v>371</v>
      </c>
      <c r="GI393" t="s">
        <v>371</v>
      </c>
      <c r="GJ393" t="s">
        <v>371</v>
      </c>
      <c r="GK393" t="s">
        <v>371</v>
      </c>
      <c r="GN393" t="s">
        <v>371</v>
      </c>
      <c r="GO393" t="s">
        <v>371</v>
      </c>
      <c r="GP393" t="s">
        <v>371</v>
      </c>
      <c r="GQ393" t="s">
        <v>371</v>
      </c>
      <c r="GR393" t="s">
        <v>371</v>
      </c>
      <c r="GS393" t="s">
        <v>371</v>
      </c>
      <c r="GT393" t="s">
        <v>371</v>
      </c>
      <c r="GU393" t="s">
        <v>371</v>
      </c>
      <c r="GV393" t="s">
        <v>371</v>
      </c>
      <c r="GW393" t="s">
        <v>371</v>
      </c>
      <c r="GX393" t="s">
        <v>371</v>
      </c>
      <c r="HA393" t="s">
        <v>375</v>
      </c>
    </row>
    <row r="394" spans="1:209" ht="14.25" customHeight="1" x14ac:dyDescent="0.25">
      <c r="A394" t="s">
        <v>616</v>
      </c>
      <c r="B394" t="s">
        <v>376</v>
      </c>
      <c r="C394">
        <v>1</v>
      </c>
      <c r="D394" t="s">
        <v>366</v>
      </c>
      <c r="E394" s="73"/>
      <c r="AA394" t="s">
        <v>377</v>
      </c>
      <c r="AB394" s="73">
        <v>46194</v>
      </c>
      <c r="AC394" t="s">
        <v>585</v>
      </c>
      <c r="AF394" t="s">
        <v>379</v>
      </c>
      <c r="AI394" t="s">
        <v>610</v>
      </c>
      <c r="AJ394">
        <v>0</v>
      </c>
      <c r="AK394" t="s">
        <v>372</v>
      </c>
      <c r="AP394" t="s">
        <v>374</v>
      </c>
      <c r="AQ394" s="73"/>
      <c r="BR394" s="73"/>
      <c r="CX394" s="73"/>
      <c r="EQ394" s="73"/>
    </row>
    <row r="395" spans="1:209" ht="14.25" customHeight="1" x14ac:dyDescent="0.25">
      <c r="A395" t="s">
        <v>616</v>
      </c>
      <c r="B395" t="s">
        <v>381</v>
      </c>
      <c r="C395">
        <v>1</v>
      </c>
      <c r="D395" t="s">
        <v>366</v>
      </c>
      <c r="E395" s="73"/>
      <c r="AB395" s="73"/>
      <c r="AQ395" s="73">
        <v>46194</v>
      </c>
      <c r="AR395" t="s">
        <v>397</v>
      </c>
      <c r="AU395" t="s">
        <v>383</v>
      </c>
      <c r="AV395" t="s">
        <v>384</v>
      </c>
      <c r="AW395" t="s">
        <v>384</v>
      </c>
      <c r="AX395" t="s">
        <v>385</v>
      </c>
      <c r="AY395" t="s">
        <v>383</v>
      </c>
      <c r="AZ395" t="s">
        <v>383</v>
      </c>
      <c r="BA395" t="s">
        <v>367</v>
      </c>
      <c r="BB395" t="s">
        <v>372</v>
      </c>
      <c r="BC395">
        <v>7</v>
      </c>
      <c r="BD395" t="s">
        <v>374</v>
      </c>
      <c r="BR395" s="73"/>
      <c r="CX395" s="73"/>
      <c r="EQ395" s="73"/>
    </row>
    <row r="396" spans="1:209" ht="14.25" customHeight="1" x14ac:dyDescent="0.25">
      <c r="A396" t="s">
        <v>617</v>
      </c>
      <c r="D396" t="s">
        <v>366</v>
      </c>
      <c r="E396" s="73">
        <v>46194</v>
      </c>
      <c r="F396" t="s">
        <v>367</v>
      </c>
      <c r="H396" t="s">
        <v>368</v>
      </c>
      <c r="I396" t="s">
        <v>368</v>
      </c>
      <c r="J396">
        <v>2007</v>
      </c>
      <c r="K396" t="s">
        <v>369</v>
      </c>
      <c r="L396" t="s">
        <v>370</v>
      </c>
      <c r="M396" t="s">
        <v>371</v>
      </c>
      <c r="N396" t="s">
        <v>371</v>
      </c>
      <c r="O396" t="s">
        <v>371</v>
      </c>
      <c r="P396" t="s">
        <v>371</v>
      </c>
      <c r="Q396" t="s">
        <v>371</v>
      </c>
      <c r="R396" t="s">
        <v>372</v>
      </c>
      <c r="S396" t="s">
        <v>372</v>
      </c>
      <c r="T396" t="s">
        <v>372</v>
      </c>
      <c r="U396" t="s">
        <v>367</v>
      </c>
      <c r="W396" t="s">
        <v>367</v>
      </c>
      <c r="X396" t="s">
        <v>373</v>
      </c>
      <c r="Y396" t="s">
        <v>367</v>
      </c>
      <c r="Z396" t="s">
        <v>374</v>
      </c>
      <c r="AB396" s="73"/>
      <c r="AQ396" s="73"/>
      <c r="BG396" t="s">
        <v>371</v>
      </c>
      <c r="BH396" t="s">
        <v>371</v>
      </c>
      <c r="BI396" t="s">
        <v>371</v>
      </c>
      <c r="BJ396" t="s">
        <v>371</v>
      </c>
      <c r="BK396" t="s">
        <v>371</v>
      </c>
      <c r="BL396" t="s">
        <v>371</v>
      </c>
      <c r="BM396" t="s">
        <v>371</v>
      </c>
      <c r="BN396" t="s">
        <v>371</v>
      </c>
      <c r="BO396" t="s">
        <v>371</v>
      </c>
      <c r="BQ396" t="s">
        <v>375</v>
      </c>
      <c r="BR396" s="73"/>
      <c r="CX396" s="73"/>
      <c r="EQ396" s="73"/>
      <c r="FT396">
        <v>0</v>
      </c>
      <c r="FZ396" t="s">
        <v>371</v>
      </c>
      <c r="GA396" t="s">
        <v>371</v>
      </c>
      <c r="GB396" t="s">
        <v>371</v>
      </c>
      <c r="GC396" t="s">
        <v>371</v>
      </c>
      <c r="GD396" t="s">
        <v>371</v>
      </c>
      <c r="GF396" t="s">
        <v>371</v>
      </c>
      <c r="GG396" t="s">
        <v>371</v>
      </c>
      <c r="GH396" t="s">
        <v>371</v>
      </c>
      <c r="GI396" t="s">
        <v>371</v>
      </c>
      <c r="GJ396" t="s">
        <v>371</v>
      </c>
      <c r="GK396" t="s">
        <v>371</v>
      </c>
      <c r="GN396" t="s">
        <v>371</v>
      </c>
      <c r="GO396" t="s">
        <v>371</v>
      </c>
      <c r="GP396" t="s">
        <v>371</v>
      </c>
      <c r="GQ396" t="s">
        <v>371</v>
      </c>
      <c r="GR396" t="s">
        <v>371</v>
      </c>
      <c r="GS396" t="s">
        <v>371</v>
      </c>
      <c r="GT396" t="s">
        <v>371</v>
      </c>
      <c r="GU396" t="s">
        <v>371</v>
      </c>
      <c r="GV396" t="s">
        <v>371</v>
      </c>
      <c r="GW396" t="s">
        <v>371</v>
      </c>
      <c r="GX396" t="s">
        <v>371</v>
      </c>
      <c r="HA396" t="s">
        <v>375</v>
      </c>
    </row>
    <row r="397" spans="1:209" ht="14.25" customHeight="1" x14ac:dyDescent="0.25">
      <c r="A397" t="s">
        <v>617</v>
      </c>
      <c r="B397" t="s">
        <v>376</v>
      </c>
      <c r="C397">
        <v>1</v>
      </c>
      <c r="D397" t="s">
        <v>366</v>
      </c>
      <c r="E397" s="73"/>
      <c r="AA397" t="s">
        <v>377</v>
      </c>
      <c r="AB397" s="73">
        <v>46194</v>
      </c>
      <c r="AC397" t="s">
        <v>585</v>
      </c>
      <c r="AF397" t="s">
        <v>379</v>
      </c>
      <c r="AI397" t="s">
        <v>610</v>
      </c>
      <c r="AJ397">
        <v>0</v>
      </c>
      <c r="AK397" t="s">
        <v>367</v>
      </c>
      <c r="AP397" t="s">
        <v>374</v>
      </c>
      <c r="AQ397" s="73"/>
      <c r="BR397" s="73"/>
      <c r="CX397" s="73"/>
      <c r="EQ397" s="73"/>
    </row>
    <row r="398" spans="1:209" ht="14.25" customHeight="1" x14ac:dyDescent="0.25">
      <c r="A398" t="s">
        <v>618</v>
      </c>
      <c r="D398" t="s">
        <v>366</v>
      </c>
      <c r="E398" s="73">
        <v>46194</v>
      </c>
      <c r="F398" t="s">
        <v>367</v>
      </c>
      <c r="H398" t="s">
        <v>403</v>
      </c>
      <c r="I398" t="s">
        <v>403</v>
      </c>
      <c r="J398">
        <v>1987</v>
      </c>
      <c r="K398" t="s">
        <v>391</v>
      </c>
      <c r="L398" t="s">
        <v>371</v>
      </c>
      <c r="M398" t="s">
        <v>371</v>
      </c>
      <c r="N398" t="s">
        <v>371</v>
      </c>
      <c r="O398" t="s">
        <v>371</v>
      </c>
      <c r="P398" t="s">
        <v>371</v>
      </c>
      <c r="Q398" t="s">
        <v>370</v>
      </c>
      <c r="R398" t="s">
        <v>372</v>
      </c>
      <c r="S398" t="s">
        <v>372</v>
      </c>
      <c r="T398" t="s">
        <v>372</v>
      </c>
      <c r="U398" t="s">
        <v>372</v>
      </c>
      <c r="V398" t="s">
        <v>367</v>
      </c>
      <c r="W398" t="s">
        <v>367</v>
      </c>
      <c r="X398" t="s">
        <v>432</v>
      </c>
      <c r="Y398" t="s">
        <v>396</v>
      </c>
      <c r="Z398" t="s">
        <v>374</v>
      </c>
      <c r="AB398" s="73"/>
      <c r="AQ398" s="73"/>
      <c r="BG398" t="s">
        <v>371</v>
      </c>
      <c r="BH398" t="s">
        <v>371</v>
      </c>
      <c r="BI398" t="s">
        <v>371</v>
      </c>
      <c r="BJ398" t="s">
        <v>371</v>
      </c>
      <c r="BK398" t="s">
        <v>371</v>
      </c>
      <c r="BL398" t="s">
        <v>371</v>
      </c>
      <c r="BM398" t="s">
        <v>371</v>
      </c>
      <c r="BN398" t="s">
        <v>371</v>
      </c>
      <c r="BO398" t="s">
        <v>371</v>
      </c>
      <c r="BQ398" t="s">
        <v>375</v>
      </c>
      <c r="BR398" s="73"/>
      <c r="CX398" s="73"/>
      <c r="EQ398" s="73"/>
      <c r="FT398">
        <v>0</v>
      </c>
      <c r="FZ398" t="s">
        <v>371</v>
      </c>
      <c r="GA398" t="s">
        <v>371</v>
      </c>
      <c r="GB398" t="s">
        <v>371</v>
      </c>
      <c r="GC398" t="s">
        <v>371</v>
      </c>
      <c r="GD398" t="s">
        <v>371</v>
      </c>
      <c r="GF398" t="s">
        <v>371</v>
      </c>
      <c r="GG398" t="s">
        <v>371</v>
      </c>
      <c r="GH398" t="s">
        <v>371</v>
      </c>
      <c r="GI398" t="s">
        <v>371</v>
      </c>
      <c r="GJ398" t="s">
        <v>371</v>
      </c>
      <c r="GK398" t="s">
        <v>371</v>
      </c>
      <c r="GN398" t="s">
        <v>371</v>
      </c>
      <c r="GO398" t="s">
        <v>371</v>
      </c>
      <c r="GP398" t="s">
        <v>371</v>
      </c>
      <c r="GQ398" t="s">
        <v>371</v>
      </c>
      <c r="GR398" t="s">
        <v>371</v>
      </c>
      <c r="GS398" t="s">
        <v>371</v>
      </c>
      <c r="GT398" t="s">
        <v>371</v>
      </c>
      <c r="GU398" t="s">
        <v>371</v>
      </c>
      <c r="GV398" t="s">
        <v>371</v>
      </c>
      <c r="GW398" t="s">
        <v>371</v>
      </c>
      <c r="GX398" t="s">
        <v>371</v>
      </c>
      <c r="HA398" t="s">
        <v>375</v>
      </c>
    </row>
    <row r="399" spans="1:209" ht="14.25" customHeight="1" x14ac:dyDescent="0.25">
      <c r="A399" t="s">
        <v>618</v>
      </c>
      <c r="B399" t="s">
        <v>376</v>
      </c>
      <c r="C399">
        <v>1</v>
      </c>
      <c r="D399" t="s">
        <v>366</v>
      </c>
      <c r="E399" s="73"/>
      <c r="AA399" t="s">
        <v>377</v>
      </c>
      <c r="AB399" s="73">
        <v>46194</v>
      </c>
      <c r="AC399" t="s">
        <v>585</v>
      </c>
      <c r="AF399" t="s">
        <v>379</v>
      </c>
      <c r="AI399" t="s">
        <v>610</v>
      </c>
      <c r="AJ399">
        <v>0</v>
      </c>
      <c r="AK399" t="s">
        <v>372</v>
      </c>
      <c r="AP399" t="s">
        <v>374</v>
      </c>
      <c r="AQ399" s="73"/>
      <c r="BR399" s="73"/>
      <c r="CX399" s="73"/>
      <c r="EQ399" s="73"/>
    </row>
    <row r="400" spans="1:209" ht="14.25" customHeight="1" x14ac:dyDescent="0.25">
      <c r="A400" t="s">
        <v>618</v>
      </c>
      <c r="B400" t="s">
        <v>381</v>
      </c>
      <c r="C400">
        <v>1</v>
      </c>
      <c r="D400" t="s">
        <v>366</v>
      </c>
      <c r="E400" s="73"/>
      <c r="AB400" s="73"/>
      <c r="AQ400" s="73">
        <v>46194</v>
      </c>
      <c r="AR400" t="s">
        <v>434</v>
      </c>
      <c r="AU400" t="s">
        <v>383</v>
      </c>
      <c r="AV400" t="s">
        <v>383</v>
      </c>
      <c r="AW400" t="s">
        <v>384</v>
      </c>
      <c r="AX400" t="s">
        <v>385</v>
      </c>
      <c r="AY400" t="s">
        <v>383</v>
      </c>
      <c r="AZ400" t="s">
        <v>384</v>
      </c>
      <c r="BA400" t="s">
        <v>367</v>
      </c>
      <c r="BB400" t="s">
        <v>367</v>
      </c>
      <c r="BC400">
        <v>5</v>
      </c>
      <c r="BD400" t="s">
        <v>374</v>
      </c>
      <c r="BR400" s="73"/>
      <c r="CX400" s="73"/>
      <c r="EQ400" s="73"/>
    </row>
    <row r="401" spans="1:209" ht="14.25" customHeight="1" x14ac:dyDescent="0.25">
      <c r="A401" t="s">
        <v>619</v>
      </c>
      <c r="D401" t="s">
        <v>366</v>
      </c>
      <c r="E401" s="73">
        <v>46194</v>
      </c>
      <c r="F401" t="s">
        <v>367</v>
      </c>
      <c r="H401" t="s">
        <v>368</v>
      </c>
      <c r="I401" t="s">
        <v>368</v>
      </c>
      <c r="J401">
        <v>1974</v>
      </c>
      <c r="K401" t="s">
        <v>369</v>
      </c>
      <c r="L401" t="s">
        <v>370</v>
      </c>
      <c r="M401" t="s">
        <v>371</v>
      </c>
      <c r="N401" t="s">
        <v>371</v>
      </c>
      <c r="O401" t="s">
        <v>371</v>
      </c>
      <c r="P401" t="s">
        <v>371</v>
      </c>
      <c r="Q401" t="s">
        <v>371</v>
      </c>
      <c r="R401" t="s">
        <v>372</v>
      </c>
      <c r="S401" t="s">
        <v>372</v>
      </c>
      <c r="T401" t="s">
        <v>372</v>
      </c>
      <c r="U401" t="s">
        <v>367</v>
      </c>
      <c r="W401" t="s">
        <v>367</v>
      </c>
      <c r="X401" t="s">
        <v>399</v>
      </c>
      <c r="Y401" t="s">
        <v>421</v>
      </c>
      <c r="Z401" t="s">
        <v>374</v>
      </c>
      <c r="AB401" s="73"/>
      <c r="AQ401" s="73"/>
      <c r="BG401" t="s">
        <v>371</v>
      </c>
      <c r="BH401" t="s">
        <v>371</v>
      </c>
      <c r="BI401" t="s">
        <v>371</v>
      </c>
      <c r="BJ401" t="s">
        <v>371</v>
      </c>
      <c r="BK401" t="s">
        <v>371</v>
      </c>
      <c r="BL401" t="s">
        <v>371</v>
      </c>
      <c r="BM401" t="s">
        <v>371</v>
      </c>
      <c r="BN401" t="s">
        <v>371</v>
      </c>
      <c r="BO401" t="s">
        <v>371</v>
      </c>
      <c r="BQ401" t="s">
        <v>375</v>
      </c>
      <c r="BR401" s="73"/>
      <c r="CX401" s="73"/>
      <c r="EQ401" s="73"/>
      <c r="FT401">
        <v>0</v>
      </c>
      <c r="FZ401" t="s">
        <v>371</v>
      </c>
      <c r="GA401" t="s">
        <v>371</v>
      </c>
      <c r="GB401" t="s">
        <v>371</v>
      </c>
      <c r="GC401" t="s">
        <v>371</v>
      </c>
      <c r="GD401" t="s">
        <v>371</v>
      </c>
      <c r="GF401" t="s">
        <v>371</v>
      </c>
      <c r="GG401" t="s">
        <v>371</v>
      </c>
      <c r="GH401" t="s">
        <v>371</v>
      </c>
      <c r="GI401" t="s">
        <v>371</v>
      </c>
      <c r="GJ401" t="s">
        <v>371</v>
      </c>
      <c r="GK401" t="s">
        <v>371</v>
      </c>
      <c r="GN401" t="s">
        <v>371</v>
      </c>
      <c r="GO401" t="s">
        <v>371</v>
      </c>
      <c r="GP401" t="s">
        <v>371</v>
      </c>
      <c r="GQ401" t="s">
        <v>371</v>
      </c>
      <c r="GR401" t="s">
        <v>371</v>
      </c>
      <c r="GS401" t="s">
        <v>371</v>
      </c>
      <c r="GT401" t="s">
        <v>371</v>
      </c>
      <c r="GU401" t="s">
        <v>371</v>
      </c>
      <c r="GV401" t="s">
        <v>371</v>
      </c>
      <c r="GW401" t="s">
        <v>371</v>
      </c>
      <c r="GX401" t="s">
        <v>371</v>
      </c>
      <c r="HA401" t="s">
        <v>375</v>
      </c>
    </row>
    <row r="402" spans="1:209" ht="14.25" customHeight="1" x14ac:dyDescent="0.25">
      <c r="A402" t="s">
        <v>619</v>
      </c>
      <c r="B402" t="s">
        <v>376</v>
      </c>
      <c r="C402">
        <v>1</v>
      </c>
      <c r="D402" t="s">
        <v>366</v>
      </c>
      <c r="E402" s="73"/>
      <c r="AA402" t="s">
        <v>377</v>
      </c>
      <c r="AB402" s="73">
        <v>46194</v>
      </c>
      <c r="AC402" t="s">
        <v>378</v>
      </c>
      <c r="AF402" t="s">
        <v>379</v>
      </c>
      <c r="AI402" t="s">
        <v>610</v>
      </c>
      <c r="AJ402">
        <v>0</v>
      </c>
      <c r="AK402" t="s">
        <v>367</v>
      </c>
      <c r="AP402" t="s">
        <v>374</v>
      </c>
      <c r="AQ402" s="73"/>
      <c r="BR402" s="73"/>
      <c r="CX402" s="73"/>
      <c r="EQ402" s="73"/>
    </row>
    <row r="403" spans="1:209" ht="14.25" customHeight="1" x14ac:dyDescent="0.25">
      <c r="A403" t="s">
        <v>620</v>
      </c>
      <c r="D403" t="s">
        <v>366</v>
      </c>
      <c r="E403" s="73">
        <v>46194</v>
      </c>
      <c r="F403" t="s">
        <v>367</v>
      </c>
      <c r="H403" t="s">
        <v>403</v>
      </c>
      <c r="I403" t="s">
        <v>403</v>
      </c>
      <c r="J403">
        <v>1980</v>
      </c>
      <c r="K403" t="s">
        <v>391</v>
      </c>
      <c r="L403" t="s">
        <v>371</v>
      </c>
      <c r="M403" t="s">
        <v>371</v>
      </c>
      <c r="N403" t="s">
        <v>371</v>
      </c>
      <c r="O403" t="s">
        <v>371</v>
      </c>
      <c r="P403" t="s">
        <v>371</v>
      </c>
      <c r="Q403" t="s">
        <v>370</v>
      </c>
      <c r="R403" t="s">
        <v>372</v>
      </c>
      <c r="S403" t="s">
        <v>372</v>
      </c>
      <c r="T403" t="s">
        <v>372</v>
      </c>
      <c r="U403" t="s">
        <v>367</v>
      </c>
      <c r="W403" t="s">
        <v>367</v>
      </c>
      <c r="X403" t="s">
        <v>399</v>
      </c>
      <c r="Y403" t="s">
        <v>396</v>
      </c>
      <c r="Z403" t="s">
        <v>374</v>
      </c>
      <c r="AB403" s="73"/>
      <c r="AQ403" s="73"/>
      <c r="BG403" t="s">
        <v>371</v>
      </c>
      <c r="BH403" t="s">
        <v>371</v>
      </c>
      <c r="BI403" t="s">
        <v>371</v>
      </c>
      <c r="BJ403" t="s">
        <v>371</v>
      </c>
      <c r="BK403" t="s">
        <v>371</v>
      </c>
      <c r="BL403" t="s">
        <v>371</v>
      </c>
      <c r="BM403" t="s">
        <v>371</v>
      </c>
      <c r="BN403" t="s">
        <v>371</v>
      </c>
      <c r="BO403" t="s">
        <v>371</v>
      </c>
      <c r="BQ403" t="s">
        <v>375</v>
      </c>
      <c r="BR403" s="73"/>
      <c r="CX403" s="73"/>
      <c r="EQ403" s="73"/>
      <c r="FT403">
        <v>0</v>
      </c>
      <c r="FZ403" t="s">
        <v>371</v>
      </c>
      <c r="GA403" t="s">
        <v>371</v>
      </c>
      <c r="GB403" t="s">
        <v>371</v>
      </c>
      <c r="GC403" t="s">
        <v>371</v>
      </c>
      <c r="GD403" t="s">
        <v>371</v>
      </c>
      <c r="GF403" t="s">
        <v>371</v>
      </c>
      <c r="GG403" t="s">
        <v>371</v>
      </c>
      <c r="GH403" t="s">
        <v>371</v>
      </c>
      <c r="GI403" t="s">
        <v>371</v>
      </c>
      <c r="GJ403" t="s">
        <v>371</v>
      </c>
      <c r="GK403" t="s">
        <v>371</v>
      </c>
      <c r="GN403" t="s">
        <v>371</v>
      </c>
      <c r="GO403" t="s">
        <v>371</v>
      </c>
      <c r="GP403" t="s">
        <v>371</v>
      </c>
      <c r="GQ403" t="s">
        <v>371</v>
      </c>
      <c r="GR403" t="s">
        <v>371</v>
      </c>
      <c r="GS403" t="s">
        <v>371</v>
      </c>
      <c r="GT403" t="s">
        <v>371</v>
      </c>
      <c r="GU403" t="s">
        <v>371</v>
      </c>
      <c r="GV403" t="s">
        <v>371</v>
      </c>
      <c r="GW403" t="s">
        <v>371</v>
      </c>
      <c r="GX403" t="s">
        <v>371</v>
      </c>
      <c r="HA403" t="s">
        <v>375</v>
      </c>
    </row>
    <row r="404" spans="1:209" ht="14.25" customHeight="1" x14ac:dyDescent="0.25">
      <c r="A404" t="s">
        <v>620</v>
      </c>
      <c r="B404" t="s">
        <v>376</v>
      </c>
      <c r="C404">
        <v>1</v>
      </c>
      <c r="D404" t="s">
        <v>366</v>
      </c>
      <c r="E404" s="73"/>
      <c r="AA404" t="s">
        <v>377</v>
      </c>
      <c r="AB404" s="73">
        <v>46194</v>
      </c>
      <c r="AC404" t="s">
        <v>378</v>
      </c>
      <c r="AF404" t="s">
        <v>379</v>
      </c>
      <c r="AI404" t="s">
        <v>610</v>
      </c>
      <c r="AJ404">
        <v>0</v>
      </c>
      <c r="AK404" t="s">
        <v>372</v>
      </c>
      <c r="AP404" t="s">
        <v>374</v>
      </c>
      <c r="AQ404" s="73"/>
      <c r="BR404" s="73"/>
      <c r="CX404" s="73"/>
      <c r="EQ404" s="73"/>
    </row>
    <row r="405" spans="1:209" ht="14.25" customHeight="1" x14ac:dyDescent="0.25">
      <c r="A405" t="s">
        <v>620</v>
      </c>
      <c r="B405" t="s">
        <v>381</v>
      </c>
      <c r="C405">
        <v>1</v>
      </c>
      <c r="D405" t="s">
        <v>366</v>
      </c>
      <c r="E405" s="73"/>
      <c r="AB405" s="73"/>
      <c r="AQ405" s="73">
        <v>46194</v>
      </c>
      <c r="AR405" t="s">
        <v>382</v>
      </c>
      <c r="AU405" t="s">
        <v>384</v>
      </c>
      <c r="AV405" t="s">
        <v>383</v>
      </c>
      <c r="AW405" t="s">
        <v>384</v>
      </c>
      <c r="AX405" t="s">
        <v>385</v>
      </c>
      <c r="AY405" t="s">
        <v>384</v>
      </c>
      <c r="AZ405" t="s">
        <v>383</v>
      </c>
      <c r="BA405" t="s">
        <v>367</v>
      </c>
      <c r="BB405" t="s">
        <v>367</v>
      </c>
      <c r="BC405">
        <v>4</v>
      </c>
      <c r="BD405" t="s">
        <v>374</v>
      </c>
      <c r="BR405" s="73"/>
      <c r="CX405" s="73"/>
      <c r="EQ405" s="73"/>
    </row>
    <row r="406" spans="1:209" ht="14.25" customHeight="1" x14ac:dyDescent="0.25">
      <c r="A406" t="s">
        <v>621</v>
      </c>
      <c r="D406" t="s">
        <v>366</v>
      </c>
      <c r="E406" s="73">
        <v>46194</v>
      </c>
      <c r="F406" t="s">
        <v>367</v>
      </c>
      <c r="H406" t="s">
        <v>368</v>
      </c>
      <c r="I406" t="s">
        <v>368</v>
      </c>
      <c r="J406">
        <v>1979</v>
      </c>
      <c r="K406" t="s">
        <v>391</v>
      </c>
      <c r="L406" t="s">
        <v>371</v>
      </c>
      <c r="M406" t="s">
        <v>370</v>
      </c>
      <c r="N406" t="s">
        <v>371</v>
      </c>
      <c r="O406" t="s">
        <v>371</v>
      </c>
      <c r="P406" t="s">
        <v>371</v>
      </c>
      <c r="Q406" t="s">
        <v>371</v>
      </c>
      <c r="R406" t="s">
        <v>372</v>
      </c>
      <c r="S406" t="s">
        <v>372</v>
      </c>
      <c r="T406" t="s">
        <v>372</v>
      </c>
      <c r="U406" t="s">
        <v>367</v>
      </c>
      <c r="W406" t="s">
        <v>367</v>
      </c>
      <c r="X406" t="s">
        <v>392</v>
      </c>
      <c r="Y406" t="s">
        <v>396</v>
      </c>
      <c r="Z406" t="s">
        <v>374</v>
      </c>
      <c r="AB406" s="73"/>
      <c r="AQ406" s="73"/>
      <c r="BG406" t="s">
        <v>371</v>
      </c>
      <c r="BH406" t="s">
        <v>371</v>
      </c>
      <c r="BI406" t="s">
        <v>371</v>
      </c>
      <c r="BJ406" t="s">
        <v>371</v>
      </c>
      <c r="BK406" t="s">
        <v>371</v>
      </c>
      <c r="BL406" t="s">
        <v>371</v>
      </c>
      <c r="BM406" t="s">
        <v>371</v>
      </c>
      <c r="BN406" t="s">
        <v>371</v>
      </c>
      <c r="BO406" t="s">
        <v>371</v>
      </c>
      <c r="BQ406" t="s">
        <v>375</v>
      </c>
      <c r="BR406" s="73"/>
      <c r="CX406" s="73"/>
      <c r="EQ406" s="73"/>
      <c r="FT406">
        <v>0</v>
      </c>
      <c r="FZ406" t="s">
        <v>371</v>
      </c>
      <c r="GA406" t="s">
        <v>371</v>
      </c>
      <c r="GB406" t="s">
        <v>371</v>
      </c>
      <c r="GC406" t="s">
        <v>371</v>
      </c>
      <c r="GD406" t="s">
        <v>371</v>
      </c>
      <c r="GF406" t="s">
        <v>371</v>
      </c>
      <c r="GG406" t="s">
        <v>371</v>
      </c>
      <c r="GH406" t="s">
        <v>371</v>
      </c>
      <c r="GI406" t="s">
        <v>371</v>
      </c>
      <c r="GJ406" t="s">
        <v>371</v>
      </c>
      <c r="GK406" t="s">
        <v>371</v>
      </c>
      <c r="GN406" t="s">
        <v>371</v>
      </c>
      <c r="GO406" t="s">
        <v>371</v>
      </c>
      <c r="GP406" t="s">
        <v>371</v>
      </c>
      <c r="GQ406" t="s">
        <v>371</v>
      </c>
      <c r="GR406" t="s">
        <v>371</v>
      </c>
      <c r="GS406" t="s">
        <v>371</v>
      </c>
      <c r="GT406" t="s">
        <v>371</v>
      </c>
      <c r="GU406" t="s">
        <v>371</v>
      </c>
      <c r="GV406" t="s">
        <v>371</v>
      </c>
      <c r="GW406" t="s">
        <v>371</v>
      </c>
      <c r="GX406" t="s">
        <v>371</v>
      </c>
      <c r="HA406" t="s">
        <v>375</v>
      </c>
    </row>
    <row r="407" spans="1:209" ht="14.25" customHeight="1" x14ac:dyDescent="0.25">
      <c r="A407" t="s">
        <v>621</v>
      </c>
      <c r="B407" t="s">
        <v>376</v>
      </c>
      <c r="C407">
        <v>1</v>
      </c>
      <c r="D407" t="s">
        <v>366</v>
      </c>
      <c r="E407" s="73"/>
      <c r="AA407" t="s">
        <v>377</v>
      </c>
      <c r="AB407" s="73">
        <v>46194</v>
      </c>
      <c r="AC407" t="s">
        <v>378</v>
      </c>
      <c r="AF407" t="s">
        <v>379</v>
      </c>
      <c r="AI407" t="s">
        <v>610</v>
      </c>
      <c r="AJ407">
        <v>0</v>
      </c>
      <c r="AK407" t="s">
        <v>372</v>
      </c>
      <c r="AP407" t="s">
        <v>374</v>
      </c>
      <c r="AQ407" s="73"/>
      <c r="BR407" s="73"/>
      <c r="CX407" s="73"/>
      <c r="EQ407" s="73"/>
    </row>
    <row r="408" spans="1:209" ht="14.25" customHeight="1" x14ac:dyDescent="0.25">
      <c r="A408" t="s">
        <v>621</v>
      </c>
      <c r="B408" t="s">
        <v>381</v>
      </c>
      <c r="C408">
        <v>1</v>
      </c>
      <c r="D408" t="s">
        <v>366</v>
      </c>
      <c r="E408" s="73"/>
      <c r="AB408" s="73"/>
      <c r="AQ408" s="73">
        <v>46194</v>
      </c>
      <c r="AR408" t="s">
        <v>382</v>
      </c>
      <c r="AU408" t="s">
        <v>383</v>
      </c>
      <c r="AV408" t="s">
        <v>383</v>
      </c>
      <c r="AW408" t="s">
        <v>383</v>
      </c>
      <c r="AX408" t="s">
        <v>385</v>
      </c>
      <c r="AY408" t="s">
        <v>383</v>
      </c>
      <c r="AZ408" t="s">
        <v>383</v>
      </c>
      <c r="BA408" t="s">
        <v>367</v>
      </c>
      <c r="BB408" t="s">
        <v>367</v>
      </c>
      <c r="BC408">
        <v>7</v>
      </c>
      <c r="BD408" t="s">
        <v>374</v>
      </c>
      <c r="BR408" s="73"/>
      <c r="CX408" s="73"/>
      <c r="EQ408" s="73"/>
    </row>
    <row r="409" spans="1:209" ht="14.25" customHeight="1" x14ac:dyDescent="0.25">
      <c r="A409" t="s">
        <v>622</v>
      </c>
      <c r="D409" t="s">
        <v>366</v>
      </c>
      <c r="E409" s="73">
        <v>46194</v>
      </c>
      <c r="F409" t="s">
        <v>367</v>
      </c>
      <c r="H409" t="s">
        <v>403</v>
      </c>
      <c r="I409" t="s">
        <v>403</v>
      </c>
      <c r="J409">
        <v>1977</v>
      </c>
      <c r="K409" t="s">
        <v>391</v>
      </c>
      <c r="L409" t="s">
        <v>371</v>
      </c>
      <c r="M409" t="s">
        <v>370</v>
      </c>
      <c r="N409" t="s">
        <v>371</v>
      </c>
      <c r="O409" t="s">
        <v>371</v>
      </c>
      <c r="P409" t="s">
        <v>371</v>
      </c>
      <c r="Q409" t="s">
        <v>371</v>
      </c>
      <c r="R409" t="s">
        <v>372</v>
      </c>
      <c r="S409" t="s">
        <v>372</v>
      </c>
      <c r="T409" t="s">
        <v>372</v>
      </c>
      <c r="U409" t="s">
        <v>367</v>
      </c>
      <c r="W409" t="s">
        <v>367</v>
      </c>
      <c r="X409" t="s">
        <v>399</v>
      </c>
      <c r="Y409" t="s">
        <v>396</v>
      </c>
      <c r="Z409" t="s">
        <v>374</v>
      </c>
      <c r="AB409" s="73"/>
      <c r="AQ409" s="73"/>
      <c r="BG409" t="s">
        <v>371</v>
      </c>
      <c r="BH409" t="s">
        <v>371</v>
      </c>
      <c r="BI409" t="s">
        <v>371</v>
      </c>
      <c r="BJ409" t="s">
        <v>371</v>
      </c>
      <c r="BK409" t="s">
        <v>371</v>
      </c>
      <c r="BL409" t="s">
        <v>371</v>
      </c>
      <c r="BM409" t="s">
        <v>371</v>
      </c>
      <c r="BN409" t="s">
        <v>371</v>
      </c>
      <c r="BO409" t="s">
        <v>371</v>
      </c>
      <c r="BQ409" t="s">
        <v>375</v>
      </c>
      <c r="BR409" s="73"/>
      <c r="CX409" s="73"/>
      <c r="EQ409" s="73"/>
      <c r="FT409">
        <v>0</v>
      </c>
      <c r="FZ409" t="s">
        <v>371</v>
      </c>
      <c r="GA409" t="s">
        <v>371</v>
      </c>
      <c r="GB409" t="s">
        <v>371</v>
      </c>
      <c r="GC409" t="s">
        <v>371</v>
      </c>
      <c r="GD409" t="s">
        <v>371</v>
      </c>
      <c r="GF409" t="s">
        <v>371</v>
      </c>
      <c r="GG409" t="s">
        <v>371</v>
      </c>
      <c r="GH409" t="s">
        <v>371</v>
      </c>
      <c r="GI409" t="s">
        <v>371</v>
      </c>
      <c r="GJ409" t="s">
        <v>371</v>
      </c>
      <c r="GK409" t="s">
        <v>371</v>
      </c>
      <c r="GN409" t="s">
        <v>371</v>
      </c>
      <c r="GO409" t="s">
        <v>371</v>
      </c>
      <c r="GP409" t="s">
        <v>371</v>
      </c>
      <c r="GQ409" t="s">
        <v>371</v>
      </c>
      <c r="GR409" t="s">
        <v>371</v>
      </c>
      <c r="GS409" t="s">
        <v>371</v>
      </c>
      <c r="GT409" t="s">
        <v>371</v>
      </c>
      <c r="GU409" t="s">
        <v>371</v>
      </c>
      <c r="GV409" t="s">
        <v>371</v>
      </c>
      <c r="GW409" t="s">
        <v>371</v>
      </c>
      <c r="GX409" t="s">
        <v>371</v>
      </c>
      <c r="HA409" t="s">
        <v>375</v>
      </c>
    </row>
    <row r="410" spans="1:209" ht="14.25" customHeight="1" x14ac:dyDescent="0.25">
      <c r="A410" t="s">
        <v>622</v>
      </c>
      <c r="B410" t="s">
        <v>376</v>
      </c>
      <c r="C410">
        <v>1</v>
      </c>
      <c r="D410" t="s">
        <v>366</v>
      </c>
      <c r="E410" s="73"/>
      <c r="AA410" t="s">
        <v>377</v>
      </c>
      <c r="AB410" s="73">
        <v>46194</v>
      </c>
      <c r="AC410" t="s">
        <v>378</v>
      </c>
      <c r="AF410" t="s">
        <v>379</v>
      </c>
      <c r="AI410" t="s">
        <v>433</v>
      </c>
      <c r="AJ410">
        <v>0</v>
      </c>
      <c r="AK410" t="s">
        <v>372</v>
      </c>
      <c r="AP410" t="s">
        <v>374</v>
      </c>
      <c r="AQ410" s="73"/>
      <c r="BR410" s="73"/>
      <c r="CX410" s="73"/>
      <c r="EQ410" s="73"/>
    </row>
    <row r="411" spans="1:209" ht="14.25" customHeight="1" x14ac:dyDescent="0.25">
      <c r="A411" t="s">
        <v>622</v>
      </c>
      <c r="B411" t="s">
        <v>381</v>
      </c>
      <c r="C411">
        <v>1</v>
      </c>
      <c r="D411" t="s">
        <v>366</v>
      </c>
      <c r="E411" s="73"/>
      <c r="AB411" s="73"/>
      <c r="AQ411" s="73">
        <v>46194</v>
      </c>
      <c r="AR411" t="s">
        <v>382</v>
      </c>
      <c r="AU411" t="s">
        <v>384</v>
      </c>
      <c r="AV411" t="s">
        <v>383</v>
      </c>
      <c r="AW411" t="s">
        <v>384</v>
      </c>
      <c r="AX411" t="s">
        <v>383</v>
      </c>
      <c r="AY411" t="s">
        <v>384</v>
      </c>
      <c r="AZ411" t="s">
        <v>383</v>
      </c>
      <c r="BA411" t="s">
        <v>367</v>
      </c>
      <c r="BB411" t="s">
        <v>367</v>
      </c>
      <c r="BC411">
        <v>3</v>
      </c>
      <c r="BD411" t="s">
        <v>374</v>
      </c>
      <c r="BR411" s="73"/>
      <c r="CX411" s="73"/>
      <c r="EQ411" s="73"/>
    </row>
    <row r="412" spans="1:209" ht="14.25" customHeight="1" x14ac:dyDescent="0.25">
      <c r="A412" t="s">
        <v>623</v>
      </c>
      <c r="D412" t="s">
        <v>366</v>
      </c>
      <c r="E412" s="73">
        <v>46195</v>
      </c>
      <c r="F412" t="s">
        <v>367</v>
      </c>
      <c r="H412" t="s">
        <v>403</v>
      </c>
      <c r="I412" t="s">
        <v>403</v>
      </c>
      <c r="J412">
        <v>1980</v>
      </c>
      <c r="K412" t="s">
        <v>391</v>
      </c>
      <c r="L412" t="s">
        <v>370</v>
      </c>
      <c r="M412" t="s">
        <v>371</v>
      </c>
      <c r="N412" t="s">
        <v>371</v>
      </c>
      <c r="O412" t="s">
        <v>371</v>
      </c>
      <c r="P412" t="s">
        <v>371</v>
      </c>
      <c r="Q412" t="s">
        <v>371</v>
      </c>
      <c r="R412" t="s">
        <v>372</v>
      </c>
      <c r="S412" t="s">
        <v>372</v>
      </c>
      <c r="T412" t="s">
        <v>372</v>
      </c>
      <c r="U412" t="s">
        <v>367</v>
      </c>
      <c r="W412" t="s">
        <v>367</v>
      </c>
      <c r="X412" t="s">
        <v>399</v>
      </c>
      <c r="Y412" t="s">
        <v>421</v>
      </c>
      <c r="Z412" t="s">
        <v>374</v>
      </c>
      <c r="AB412" s="73"/>
      <c r="AQ412" s="73"/>
      <c r="BG412" t="s">
        <v>371</v>
      </c>
      <c r="BH412" t="s">
        <v>371</v>
      </c>
      <c r="BI412" t="s">
        <v>371</v>
      </c>
      <c r="BJ412" t="s">
        <v>371</v>
      </c>
      <c r="BK412" t="s">
        <v>371</v>
      </c>
      <c r="BL412" t="s">
        <v>371</v>
      </c>
      <c r="BM412" t="s">
        <v>371</v>
      </c>
      <c r="BN412" t="s">
        <v>371</v>
      </c>
      <c r="BO412" t="s">
        <v>371</v>
      </c>
      <c r="BQ412" t="s">
        <v>375</v>
      </c>
      <c r="BR412" s="73"/>
      <c r="CX412" s="73"/>
      <c r="EQ412" s="73"/>
      <c r="FT412">
        <v>0</v>
      </c>
      <c r="FZ412" t="s">
        <v>371</v>
      </c>
      <c r="GA412" t="s">
        <v>371</v>
      </c>
      <c r="GB412" t="s">
        <v>371</v>
      </c>
      <c r="GC412" t="s">
        <v>371</v>
      </c>
      <c r="GD412" t="s">
        <v>371</v>
      </c>
      <c r="GF412" t="s">
        <v>371</v>
      </c>
      <c r="GG412" t="s">
        <v>371</v>
      </c>
      <c r="GH412" t="s">
        <v>371</v>
      </c>
      <c r="GI412" t="s">
        <v>371</v>
      </c>
      <c r="GJ412" t="s">
        <v>371</v>
      </c>
      <c r="GK412" t="s">
        <v>371</v>
      </c>
      <c r="GN412" t="s">
        <v>371</v>
      </c>
      <c r="GO412" t="s">
        <v>371</v>
      </c>
      <c r="GP412" t="s">
        <v>371</v>
      </c>
      <c r="GQ412" t="s">
        <v>371</v>
      </c>
      <c r="GR412" t="s">
        <v>371</v>
      </c>
      <c r="GS412" t="s">
        <v>371</v>
      </c>
      <c r="GT412" t="s">
        <v>371</v>
      </c>
      <c r="GU412" t="s">
        <v>371</v>
      </c>
      <c r="GV412" t="s">
        <v>371</v>
      </c>
      <c r="GW412" t="s">
        <v>371</v>
      </c>
      <c r="GX412" t="s">
        <v>371</v>
      </c>
      <c r="HA412" t="s">
        <v>375</v>
      </c>
    </row>
    <row r="413" spans="1:209" ht="14.25" customHeight="1" x14ac:dyDescent="0.25">
      <c r="A413" t="s">
        <v>623</v>
      </c>
      <c r="B413" t="s">
        <v>376</v>
      </c>
      <c r="C413">
        <v>1</v>
      </c>
      <c r="D413" t="s">
        <v>366</v>
      </c>
      <c r="E413" s="73"/>
      <c r="AA413" t="s">
        <v>377</v>
      </c>
      <c r="AB413" s="73">
        <v>46195</v>
      </c>
      <c r="AC413" t="s">
        <v>378</v>
      </c>
      <c r="AF413" t="s">
        <v>379</v>
      </c>
      <c r="AI413" t="s">
        <v>400</v>
      </c>
      <c r="AJ413">
        <v>0</v>
      </c>
      <c r="AK413" t="s">
        <v>372</v>
      </c>
      <c r="AP413" t="s">
        <v>374</v>
      </c>
      <c r="AQ413" s="73"/>
      <c r="BR413" s="73"/>
      <c r="CX413" s="73"/>
      <c r="EQ413" s="73"/>
    </row>
    <row r="414" spans="1:209" ht="14.25" customHeight="1" x14ac:dyDescent="0.25">
      <c r="A414" t="s">
        <v>623</v>
      </c>
      <c r="B414" t="s">
        <v>381</v>
      </c>
      <c r="C414">
        <v>1</v>
      </c>
      <c r="D414" t="s">
        <v>366</v>
      </c>
      <c r="E414" s="73"/>
      <c r="AB414" s="73"/>
      <c r="AQ414" s="73">
        <v>46195</v>
      </c>
      <c r="AR414" t="s">
        <v>378</v>
      </c>
      <c r="AU414" t="s">
        <v>384</v>
      </c>
      <c r="AV414" t="s">
        <v>384</v>
      </c>
      <c r="AW414" t="s">
        <v>384</v>
      </c>
      <c r="AX414" t="s">
        <v>383</v>
      </c>
      <c r="AY414" t="s">
        <v>384</v>
      </c>
      <c r="AZ414" t="s">
        <v>385</v>
      </c>
      <c r="BA414" t="s">
        <v>367</v>
      </c>
      <c r="BB414" t="s">
        <v>367</v>
      </c>
      <c r="BC414">
        <v>3</v>
      </c>
      <c r="BD414" t="s">
        <v>374</v>
      </c>
      <c r="BR414" s="73"/>
      <c r="CX414" s="73"/>
      <c r="EQ414" s="73"/>
    </row>
    <row r="415" spans="1:209" ht="14.25" customHeight="1" x14ac:dyDescent="0.25">
      <c r="A415" t="s">
        <v>624</v>
      </c>
      <c r="D415" t="s">
        <v>366</v>
      </c>
      <c r="E415" s="73">
        <v>46195</v>
      </c>
      <c r="F415" t="s">
        <v>367</v>
      </c>
      <c r="H415" t="s">
        <v>368</v>
      </c>
      <c r="I415" t="s">
        <v>403</v>
      </c>
      <c r="J415">
        <v>1976</v>
      </c>
      <c r="K415" t="s">
        <v>391</v>
      </c>
      <c r="L415" t="s">
        <v>371</v>
      </c>
      <c r="M415" t="s">
        <v>370</v>
      </c>
      <c r="N415" t="s">
        <v>371</v>
      </c>
      <c r="O415" t="s">
        <v>371</v>
      </c>
      <c r="P415" t="s">
        <v>371</v>
      </c>
      <c r="Q415" t="s">
        <v>371</v>
      </c>
      <c r="R415" t="s">
        <v>372</v>
      </c>
      <c r="S415" t="s">
        <v>372</v>
      </c>
      <c r="T415" t="s">
        <v>372</v>
      </c>
      <c r="U415" t="s">
        <v>367</v>
      </c>
      <c r="W415" t="s">
        <v>367</v>
      </c>
      <c r="X415" t="s">
        <v>399</v>
      </c>
      <c r="Y415" t="s">
        <v>421</v>
      </c>
      <c r="Z415" t="s">
        <v>374</v>
      </c>
      <c r="AB415" s="73"/>
      <c r="AQ415" s="73"/>
      <c r="BG415" t="s">
        <v>371</v>
      </c>
      <c r="BH415" t="s">
        <v>371</v>
      </c>
      <c r="BI415" t="s">
        <v>371</v>
      </c>
      <c r="BJ415" t="s">
        <v>371</v>
      </c>
      <c r="BK415" t="s">
        <v>371</v>
      </c>
      <c r="BL415" t="s">
        <v>371</v>
      </c>
      <c r="BM415" t="s">
        <v>371</v>
      </c>
      <c r="BN415" t="s">
        <v>371</v>
      </c>
      <c r="BO415" t="s">
        <v>371</v>
      </c>
      <c r="BQ415" t="s">
        <v>375</v>
      </c>
      <c r="BR415" s="73"/>
      <c r="CX415" s="73"/>
      <c r="EQ415" s="73"/>
      <c r="FT415">
        <v>0</v>
      </c>
      <c r="FZ415" t="s">
        <v>371</v>
      </c>
      <c r="GA415" t="s">
        <v>371</v>
      </c>
      <c r="GB415" t="s">
        <v>371</v>
      </c>
      <c r="GC415" t="s">
        <v>371</v>
      </c>
      <c r="GD415" t="s">
        <v>371</v>
      </c>
      <c r="GF415" t="s">
        <v>371</v>
      </c>
      <c r="GG415" t="s">
        <v>371</v>
      </c>
      <c r="GH415" t="s">
        <v>371</v>
      </c>
      <c r="GI415" t="s">
        <v>371</v>
      </c>
      <c r="GJ415" t="s">
        <v>371</v>
      </c>
      <c r="GK415" t="s">
        <v>371</v>
      </c>
      <c r="GN415" t="s">
        <v>371</v>
      </c>
      <c r="GO415" t="s">
        <v>371</v>
      </c>
      <c r="GP415" t="s">
        <v>371</v>
      </c>
      <c r="GQ415" t="s">
        <v>371</v>
      </c>
      <c r="GR415" t="s">
        <v>371</v>
      </c>
      <c r="GS415" t="s">
        <v>371</v>
      </c>
      <c r="GT415" t="s">
        <v>371</v>
      </c>
      <c r="GU415" t="s">
        <v>371</v>
      </c>
      <c r="GV415" t="s">
        <v>371</v>
      </c>
      <c r="GW415" t="s">
        <v>371</v>
      </c>
      <c r="GX415" t="s">
        <v>371</v>
      </c>
      <c r="HA415" t="s">
        <v>375</v>
      </c>
    </row>
    <row r="416" spans="1:209" ht="14.25" customHeight="1" x14ac:dyDescent="0.25">
      <c r="A416" t="s">
        <v>624</v>
      </c>
      <c r="B416" t="s">
        <v>376</v>
      </c>
      <c r="C416">
        <v>1</v>
      </c>
      <c r="D416" t="s">
        <v>366</v>
      </c>
      <c r="E416" s="73"/>
      <c r="AA416" t="s">
        <v>377</v>
      </c>
      <c r="AB416" s="73">
        <v>46195</v>
      </c>
      <c r="AC416" t="s">
        <v>378</v>
      </c>
      <c r="AF416" t="s">
        <v>379</v>
      </c>
      <c r="AI416" t="s">
        <v>400</v>
      </c>
      <c r="AJ416">
        <v>0</v>
      </c>
      <c r="AK416" t="s">
        <v>372</v>
      </c>
      <c r="AP416" t="s">
        <v>374</v>
      </c>
      <c r="AQ416" s="73"/>
      <c r="BR416" s="73"/>
      <c r="CX416" s="73"/>
      <c r="EQ416" s="73"/>
    </row>
    <row r="417" spans="1:209" ht="14.25" customHeight="1" x14ac:dyDescent="0.25">
      <c r="A417" t="s">
        <v>624</v>
      </c>
      <c r="B417" t="s">
        <v>381</v>
      </c>
      <c r="C417">
        <v>1</v>
      </c>
      <c r="D417" t="s">
        <v>366</v>
      </c>
      <c r="E417" s="73"/>
      <c r="AB417" s="73"/>
      <c r="AQ417" s="73">
        <v>46195</v>
      </c>
      <c r="AR417" t="s">
        <v>378</v>
      </c>
      <c r="AU417" t="s">
        <v>384</v>
      </c>
      <c r="AV417" t="s">
        <v>383</v>
      </c>
      <c r="AW417" t="s">
        <v>383</v>
      </c>
      <c r="AX417" t="s">
        <v>404</v>
      </c>
      <c r="AY417" t="s">
        <v>384</v>
      </c>
      <c r="AZ417" t="s">
        <v>404</v>
      </c>
      <c r="BA417" t="s">
        <v>367</v>
      </c>
      <c r="BB417" t="s">
        <v>367</v>
      </c>
      <c r="BC417">
        <v>8</v>
      </c>
      <c r="BD417" t="s">
        <v>374</v>
      </c>
      <c r="BR417" s="73"/>
      <c r="CX417" s="73"/>
      <c r="EQ417" s="73"/>
    </row>
    <row r="418" spans="1:209" ht="14.25" customHeight="1" x14ac:dyDescent="0.25">
      <c r="A418" t="s">
        <v>624</v>
      </c>
      <c r="B418" t="s">
        <v>410</v>
      </c>
      <c r="C418">
        <v>1</v>
      </c>
      <c r="D418" t="s">
        <v>366</v>
      </c>
      <c r="E418" s="73"/>
      <c r="AB418" s="73"/>
      <c r="AQ418" s="73"/>
      <c r="BR418" s="73"/>
      <c r="CX418" s="73">
        <v>46196</v>
      </c>
      <c r="CY418" t="s">
        <v>411</v>
      </c>
      <c r="CZ418" t="s">
        <v>412</v>
      </c>
      <c r="DA418" t="s">
        <v>413</v>
      </c>
      <c r="DC418" t="s">
        <v>440</v>
      </c>
      <c r="DE418" t="s">
        <v>515</v>
      </c>
      <c r="DF418" t="s">
        <v>625</v>
      </c>
      <c r="DG418" t="s">
        <v>367</v>
      </c>
      <c r="DH418" t="s">
        <v>367</v>
      </c>
      <c r="DI418" t="s">
        <v>367</v>
      </c>
      <c r="DK418" t="s">
        <v>370</v>
      </c>
      <c r="DL418" t="s">
        <v>371</v>
      </c>
      <c r="DM418" t="s">
        <v>371</v>
      </c>
      <c r="DN418" t="s">
        <v>371</v>
      </c>
      <c r="DO418" t="s">
        <v>372</v>
      </c>
      <c r="DQ418" t="s">
        <v>371</v>
      </c>
      <c r="DR418" t="s">
        <v>371</v>
      </c>
      <c r="DS418" t="s">
        <v>370</v>
      </c>
      <c r="DT418" t="s">
        <v>371</v>
      </c>
      <c r="DU418" t="s">
        <v>371</v>
      </c>
      <c r="DV418" t="s">
        <v>371</v>
      </c>
      <c r="DW418" t="s">
        <v>371</v>
      </c>
      <c r="DX418" t="s">
        <v>371</v>
      </c>
      <c r="DY418" t="s">
        <v>371</v>
      </c>
      <c r="DZ418" t="s">
        <v>370</v>
      </c>
      <c r="EA418" t="s">
        <v>371</v>
      </c>
      <c r="EB418" t="s">
        <v>371</v>
      </c>
      <c r="EC418" t="s">
        <v>371</v>
      </c>
      <c r="ED418" t="s">
        <v>371</v>
      </c>
      <c r="EE418" t="s">
        <v>371</v>
      </c>
      <c r="EF418" t="s">
        <v>371</v>
      </c>
      <c r="EG418" t="s">
        <v>371</v>
      </c>
      <c r="EH418" t="s">
        <v>371</v>
      </c>
      <c r="EI418" t="s">
        <v>626</v>
      </c>
      <c r="EJ418" t="s">
        <v>370</v>
      </c>
      <c r="EK418" t="s">
        <v>370</v>
      </c>
      <c r="EL418" t="s">
        <v>370</v>
      </c>
      <c r="EM418" t="s">
        <v>370</v>
      </c>
      <c r="EN418" t="s">
        <v>370</v>
      </c>
      <c r="EO418" t="s">
        <v>371</v>
      </c>
      <c r="EQ418" s="73">
        <v>46227</v>
      </c>
      <c r="ER418" t="s">
        <v>627</v>
      </c>
      <c r="ES418" t="s">
        <v>374</v>
      </c>
    </row>
    <row r="419" spans="1:209" ht="14.25" customHeight="1" x14ac:dyDescent="0.25">
      <c r="A419" t="s">
        <v>628</v>
      </c>
      <c r="D419" t="s">
        <v>366</v>
      </c>
      <c r="E419" s="73">
        <v>46195</v>
      </c>
      <c r="F419" t="s">
        <v>367</v>
      </c>
      <c r="H419" t="s">
        <v>403</v>
      </c>
      <c r="I419" t="s">
        <v>403</v>
      </c>
      <c r="J419">
        <v>1977</v>
      </c>
      <c r="K419" t="s">
        <v>448</v>
      </c>
      <c r="L419" t="s">
        <v>371</v>
      </c>
      <c r="M419" t="s">
        <v>370</v>
      </c>
      <c r="N419" t="s">
        <v>371</v>
      </c>
      <c r="O419" t="s">
        <v>371</v>
      </c>
      <c r="P419" t="s">
        <v>371</v>
      </c>
      <c r="Q419" t="s">
        <v>371</v>
      </c>
      <c r="R419" t="s">
        <v>372</v>
      </c>
      <c r="S419" t="s">
        <v>367</v>
      </c>
      <c r="T419" t="s">
        <v>372</v>
      </c>
      <c r="U419" t="s">
        <v>367</v>
      </c>
      <c r="W419" t="s">
        <v>367</v>
      </c>
      <c r="X419" t="s">
        <v>494</v>
      </c>
      <c r="Y419" t="s">
        <v>421</v>
      </c>
      <c r="Z419" t="s">
        <v>374</v>
      </c>
      <c r="AB419" s="73"/>
      <c r="AQ419" s="73"/>
      <c r="BG419" t="s">
        <v>371</v>
      </c>
      <c r="BH419" t="s">
        <v>371</v>
      </c>
      <c r="BI419" t="s">
        <v>371</v>
      </c>
      <c r="BJ419" t="s">
        <v>371</v>
      </c>
      <c r="BK419" t="s">
        <v>371</v>
      </c>
      <c r="BL419" t="s">
        <v>371</v>
      </c>
      <c r="BM419" t="s">
        <v>371</v>
      </c>
      <c r="BN419" t="s">
        <v>371</v>
      </c>
      <c r="BO419" t="s">
        <v>371</v>
      </c>
      <c r="BQ419" t="s">
        <v>375</v>
      </c>
      <c r="BR419" s="73"/>
      <c r="CX419" s="73"/>
      <c r="EQ419" s="73"/>
      <c r="FT419">
        <v>0</v>
      </c>
      <c r="FZ419" t="s">
        <v>371</v>
      </c>
      <c r="GA419" t="s">
        <v>371</v>
      </c>
      <c r="GB419" t="s">
        <v>371</v>
      </c>
      <c r="GC419" t="s">
        <v>371</v>
      </c>
      <c r="GD419" t="s">
        <v>371</v>
      </c>
      <c r="GF419" t="s">
        <v>371</v>
      </c>
      <c r="GG419" t="s">
        <v>371</v>
      </c>
      <c r="GH419" t="s">
        <v>371</v>
      </c>
      <c r="GI419" t="s">
        <v>371</v>
      </c>
      <c r="GJ419" t="s">
        <v>371</v>
      </c>
      <c r="GK419" t="s">
        <v>371</v>
      </c>
      <c r="GN419" t="s">
        <v>371</v>
      </c>
      <c r="GO419" t="s">
        <v>371</v>
      </c>
      <c r="GP419" t="s">
        <v>371</v>
      </c>
      <c r="GQ419" t="s">
        <v>371</v>
      </c>
      <c r="GR419" t="s">
        <v>371</v>
      </c>
      <c r="GS419" t="s">
        <v>371</v>
      </c>
      <c r="GT419" t="s">
        <v>371</v>
      </c>
      <c r="GU419" t="s">
        <v>371</v>
      </c>
      <c r="GV419" t="s">
        <v>371</v>
      </c>
      <c r="GW419" t="s">
        <v>371</v>
      </c>
      <c r="GX419" t="s">
        <v>371</v>
      </c>
      <c r="HA419" t="s">
        <v>375</v>
      </c>
    </row>
    <row r="420" spans="1:209" ht="14.25" customHeight="1" x14ac:dyDescent="0.25">
      <c r="A420" t="s">
        <v>628</v>
      </c>
      <c r="B420" t="s">
        <v>376</v>
      </c>
      <c r="C420">
        <v>1</v>
      </c>
      <c r="D420" t="s">
        <v>366</v>
      </c>
      <c r="E420" s="73"/>
      <c r="AA420" t="s">
        <v>377</v>
      </c>
      <c r="AB420" s="73">
        <v>46195</v>
      </c>
      <c r="AC420" t="s">
        <v>378</v>
      </c>
      <c r="AF420" t="s">
        <v>379</v>
      </c>
      <c r="AI420" t="s">
        <v>380</v>
      </c>
      <c r="AJ420">
        <v>0</v>
      </c>
      <c r="AK420" t="s">
        <v>372</v>
      </c>
      <c r="AP420" t="s">
        <v>374</v>
      </c>
      <c r="AQ420" s="73"/>
      <c r="BR420" s="73"/>
      <c r="CX420" s="73"/>
      <c r="EQ420" s="73"/>
    </row>
    <row r="421" spans="1:209" ht="14.25" customHeight="1" x14ac:dyDescent="0.25">
      <c r="A421" t="s">
        <v>628</v>
      </c>
      <c r="B421" t="s">
        <v>381</v>
      </c>
      <c r="C421">
        <v>1</v>
      </c>
      <c r="D421" t="s">
        <v>366</v>
      </c>
      <c r="E421" s="73"/>
      <c r="AB421" s="73"/>
      <c r="AQ421" s="73">
        <v>46195</v>
      </c>
      <c r="AR421" t="s">
        <v>397</v>
      </c>
      <c r="AU421" t="s">
        <v>383</v>
      </c>
      <c r="AV421" t="s">
        <v>384</v>
      </c>
      <c r="AW421" t="s">
        <v>384</v>
      </c>
      <c r="AX421" t="s">
        <v>383</v>
      </c>
      <c r="AY421" t="s">
        <v>384</v>
      </c>
      <c r="AZ421" t="s">
        <v>384</v>
      </c>
      <c r="BA421" t="s">
        <v>367</v>
      </c>
      <c r="BB421" t="s">
        <v>372</v>
      </c>
      <c r="BC421">
        <v>4</v>
      </c>
      <c r="BD421" t="s">
        <v>374</v>
      </c>
      <c r="BR421" s="73"/>
      <c r="CX421" s="73"/>
      <c r="EQ421" s="73"/>
    </row>
    <row r="422" spans="1:209" ht="14.25" customHeight="1" x14ac:dyDescent="0.25">
      <c r="A422" t="s">
        <v>629</v>
      </c>
      <c r="D422" t="s">
        <v>366</v>
      </c>
      <c r="E422" s="73">
        <v>46195</v>
      </c>
      <c r="F422" t="s">
        <v>367</v>
      </c>
      <c r="H422" t="s">
        <v>403</v>
      </c>
      <c r="I422" t="s">
        <v>403</v>
      </c>
      <c r="J422">
        <v>1986</v>
      </c>
      <c r="K422" t="s">
        <v>448</v>
      </c>
      <c r="L422" t="s">
        <v>371</v>
      </c>
      <c r="M422" t="s">
        <v>370</v>
      </c>
      <c r="N422" t="s">
        <v>371</v>
      </c>
      <c r="O422" t="s">
        <v>371</v>
      </c>
      <c r="P422" t="s">
        <v>371</v>
      </c>
      <c r="Q422" t="s">
        <v>371</v>
      </c>
      <c r="R422" t="s">
        <v>372</v>
      </c>
      <c r="S422" t="s">
        <v>367</v>
      </c>
      <c r="T422" t="s">
        <v>372</v>
      </c>
      <c r="U422" t="s">
        <v>367</v>
      </c>
      <c r="W422" t="s">
        <v>367</v>
      </c>
      <c r="X422" t="s">
        <v>392</v>
      </c>
      <c r="Y422" t="s">
        <v>421</v>
      </c>
      <c r="Z422" t="s">
        <v>374</v>
      </c>
      <c r="AB422" s="73"/>
      <c r="AQ422" s="73"/>
      <c r="BG422" t="s">
        <v>371</v>
      </c>
      <c r="BH422" t="s">
        <v>371</v>
      </c>
      <c r="BI422" t="s">
        <v>371</v>
      </c>
      <c r="BJ422" t="s">
        <v>371</v>
      </c>
      <c r="BK422" t="s">
        <v>371</v>
      </c>
      <c r="BL422" t="s">
        <v>371</v>
      </c>
      <c r="BM422" t="s">
        <v>371</v>
      </c>
      <c r="BN422" t="s">
        <v>371</v>
      </c>
      <c r="BO422" t="s">
        <v>371</v>
      </c>
      <c r="BQ422" t="s">
        <v>375</v>
      </c>
      <c r="BR422" s="73"/>
      <c r="CX422" s="73"/>
      <c r="EQ422" s="73"/>
      <c r="FT422">
        <v>0</v>
      </c>
      <c r="FZ422" t="s">
        <v>371</v>
      </c>
      <c r="GA422" t="s">
        <v>371</v>
      </c>
      <c r="GB422" t="s">
        <v>371</v>
      </c>
      <c r="GC422" t="s">
        <v>371</v>
      </c>
      <c r="GD422" t="s">
        <v>371</v>
      </c>
      <c r="GF422" t="s">
        <v>371</v>
      </c>
      <c r="GG422" t="s">
        <v>371</v>
      </c>
      <c r="GH422" t="s">
        <v>371</v>
      </c>
      <c r="GI422" t="s">
        <v>371</v>
      </c>
      <c r="GJ422" t="s">
        <v>371</v>
      </c>
      <c r="GK422" t="s">
        <v>371</v>
      </c>
      <c r="GN422" t="s">
        <v>371</v>
      </c>
      <c r="GO422" t="s">
        <v>371</v>
      </c>
      <c r="GP422" t="s">
        <v>371</v>
      </c>
      <c r="GQ422" t="s">
        <v>371</v>
      </c>
      <c r="GR422" t="s">
        <v>371</v>
      </c>
      <c r="GS422" t="s">
        <v>371</v>
      </c>
      <c r="GT422" t="s">
        <v>371</v>
      </c>
      <c r="GU422" t="s">
        <v>371</v>
      </c>
      <c r="GV422" t="s">
        <v>371</v>
      </c>
      <c r="GW422" t="s">
        <v>371</v>
      </c>
      <c r="GX422" t="s">
        <v>371</v>
      </c>
      <c r="HA422" t="s">
        <v>375</v>
      </c>
    </row>
    <row r="423" spans="1:209" ht="14.25" customHeight="1" x14ac:dyDescent="0.25">
      <c r="A423" t="s">
        <v>629</v>
      </c>
      <c r="B423" t="s">
        <v>376</v>
      </c>
      <c r="C423">
        <v>1</v>
      </c>
      <c r="D423" t="s">
        <v>366</v>
      </c>
      <c r="E423" s="73"/>
      <c r="AA423" t="s">
        <v>377</v>
      </c>
      <c r="AB423" s="73">
        <v>46195</v>
      </c>
      <c r="AC423" t="s">
        <v>378</v>
      </c>
      <c r="AF423" t="s">
        <v>379</v>
      </c>
      <c r="AI423" t="s">
        <v>400</v>
      </c>
      <c r="AJ423">
        <v>0</v>
      </c>
      <c r="AK423" t="s">
        <v>372</v>
      </c>
      <c r="AP423" t="s">
        <v>374</v>
      </c>
      <c r="AQ423" s="73"/>
      <c r="BR423" s="73"/>
      <c r="CX423" s="73"/>
      <c r="EQ423" s="73"/>
    </row>
    <row r="424" spans="1:209" ht="14.25" customHeight="1" x14ac:dyDescent="0.25">
      <c r="A424" t="s">
        <v>629</v>
      </c>
      <c r="B424" t="s">
        <v>381</v>
      </c>
      <c r="C424">
        <v>1</v>
      </c>
      <c r="D424" t="s">
        <v>366</v>
      </c>
      <c r="E424" s="73"/>
      <c r="AB424" s="73"/>
      <c r="AQ424" s="73">
        <v>46195</v>
      </c>
      <c r="AR424" t="s">
        <v>378</v>
      </c>
      <c r="AU424" t="s">
        <v>383</v>
      </c>
      <c r="AV424" t="s">
        <v>383</v>
      </c>
      <c r="AW424" t="s">
        <v>384</v>
      </c>
      <c r="AX424" t="s">
        <v>383</v>
      </c>
      <c r="AY424" t="s">
        <v>383</v>
      </c>
      <c r="AZ424" t="s">
        <v>383</v>
      </c>
      <c r="BA424" t="s">
        <v>367</v>
      </c>
      <c r="BB424" t="s">
        <v>372</v>
      </c>
      <c r="BC424">
        <v>7</v>
      </c>
      <c r="BD424" t="s">
        <v>374</v>
      </c>
      <c r="BR424" s="73"/>
      <c r="CX424" s="73"/>
      <c r="EQ424" s="73"/>
    </row>
    <row r="425" spans="1:209" ht="14.25" customHeight="1" x14ac:dyDescent="0.25">
      <c r="A425" t="s">
        <v>630</v>
      </c>
      <c r="D425" t="s">
        <v>366</v>
      </c>
      <c r="E425" s="73">
        <v>46195</v>
      </c>
      <c r="F425" t="s">
        <v>367</v>
      </c>
      <c r="H425" t="s">
        <v>368</v>
      </c>
      <c r="I425" t="s">
        <v>368</v>
      </c>
      <c r="J425">
        <v>1979</v>
      </c>
      <c r="K425" t="s">
        <v>391</v>
      </c>
      <c r="L425" t="s">
        <v>371</v>
      </c>
      <c r="M425" t="s">
        <v>370</v>
      </c>
      <c r="N425" t="s">
        <v>371</v>
      </c>
      <c r="O425" t="s">
        <v>371</v>
      </c>
      <c r="P425" t="s">
        <v>371</v>
      </c>
      <c r="Q425" t="s">
        <v>371</v>
      </c>
      <c r="R425" t="s">
        <v>372</v>
      </c>
      <c r="S425" t="s">
        <v>372</v>
      </c>
      <c r="T425" t="s">
        <v>372</v>
      </c>
      <c r="U425" t="s">
        <v>367</v>
      </c>
      <c r="W425" t="s">
        <v>367</v>
      </c>
      <c r="X425" t="s">
        <v>432</v>
      </c>
      <c r="Y425" t="s">
        <v>421</v>
      </c>
      <c r="Z425" t="s">
        <v>374</v>
      </c>
      <c r="AB425" s="73"/>
      <c r="AQ425" s="73"/>
      <c r="BG425" t="s">
        <v>371</v>
      </c>
      <c r="BH425" t="s">
        <v>371</v>
      </c>
      <c r="BI425" t="s">
        <v>371</v>
      </c>
      <c r="BJ425" t="s">
        <v>371</v>
      </c>
      <c r="BK425" t="s">
        <v>371</v>
      </c>
      <c r="BL425" t="s">
        <v>371</v>
      </c>
      <c r="BM425" t="s">
        <v>371</v>
      </c>
      <c r="BN425" t="s">
        <v>371</v>
      </c>
      <c r="BO425" t="s">
        <v>371</v>
      </c>
      <c r="BQ425" t="s">
        <v>375</v>
      </c>
      <c r="BR425" s="73"/>
      <c r="CX425" s="73"/>
      <c r="EQ425" s="73"/>
      <c r="FT425">
        <v>0</v>
      </c>
      <c r="FZ425" t="s">
        <v>371</v>
      </c>
      <c r="GA425" t="s">
        <v>371</v>
      </c>
      <c r="GB425" t="s">
        <v>371</v>
      </c>
      <c r="GC425" t="s">
        <v>371</v>
      </c>
      <c r="GD425" t="s">
        <v>371</v>
      </c>
      <c r="GF425" t="s">
        <v>371</v>
      </c>
      <c r="GG425" t="s">
        <v>371</v>
      </c>
      <c r="GH425" t="s">
        <v>371</v>
      </c>
      <c r="GI425" t="s">
        <v>371</v>
      </c>
      <c r="GJ425" t="s">
        <v>371</v>
      </c>
      <c r="GK425" t="s">
        <v>371</v>
      </c>
      <c r="GN425" t="s">
        <v>371</v>
      </c>
      <c r="GO425" t="s">
        <v>371</v>
      </c>
      <c r="GP425" t="s">
        <v>371</v>
      </c>
      <c r="GQ425" t="s">
        <v>371</v>
      </c>
      <c r="GR425" t="s">
        <v>371</v>
      </c>
      <c r="GS425" t="s">
        <v>371</v>
      </c>
      <c r="GT425" t="s">
        <v>371</v>
      </c>
      <c r="GU425" t="s">
        <v>371</v>
      </c>
      <c r="GV425" t="s">
        <v>371</v>
      </c>
      <c r="GW425" t="s">
        <v>371</v>
      </c>
      <c r="GX425" t="s">
        <v>371</v>
      </c>
      <c r="HA425" t="s">
        <v>375</v>
      </c>
    </row>
    <row r="426" spans="1:209" ht="14.25" customHeight="1" x14ac:dyDescent="0.25">
      <c r="A426" t="s">
        <v>630</v>
      </c>
      <c r="B426" t="s">
        <v>376</v>
      </c>
      <c r="C426">
        <v>1</v>
      </c>
      <c r="D426" t="s">
        <v>366</v>
      </c>
      <c r="E426" s="73"/>
      <c r="AA426" t="s">
        <v>377</v>
      </c>
      <c r="AB426" s="73">
        <v>46195</v>
      </c>
      <c r="AC426" t="s">
        <v>378</v>
      </c>
      <c r="AF426" t="s">
        <v>379</v>
      </c>
      <c r="AI426" t="s">
        <v>400</v>
      </c>
      <c r="AJ426">
        <v>0</v>
      </c>
      <c r="AK426" t="s">
        <v>372</v>
      </c>
      <c r="AP426" t="s">
        <v>374</v>
      </c>
      <c r="AQ426" s="73"/>
      <c r="BR426" s="73"/>
      <c r="CX426" s="73"/>
      <c r="EQ426" s="73"/>
    </row>
    <row r="427" spans="1:209" ht="14.25" customHeight="1" x14ac:dyDescent="0.25">
      <c r="A427" t="s">
        <v>630</v>
      </c>
      <c r="B427" t="s">
        <v>381</v>
      </c>
      <c r="C427">
        <v>1</v>
      </c>
      <c r="D427" t="s">
        <v>366</v>
      </c>
      <c r="E427" s="73"/>
      <c r="AB427" s="73"/>
      <c r="AQ427" s="73">
        <v>46195</v>
      </c>
      <c r="AR427" t="s">
        <v>378</v>
      </c>
      <c r="AU427" t="s">
        <v>384</v>
      </c>
      <c r="AV427" t="s">
        <v>384</v>
      </c>
      <c r="AW427" t="s">
        <v>384</v>
      </c>
      <c r="AX427" t="s">
        <v>383</v>
      </c>
      <c r="AY427" t="s">
        <v>383</v>
      </c>
      <c r="AZ427" t="s">
        <v>383</v>
      </c>
      <c r="BA427" t="s">
        <v>367</v>
      </c>
      <c r="BB427" t="s">
        <v>367</v>
      </c>
      <c r="BC427">
        <v>3</v>
      </c>
      <c r="BD427" t="s">
        <v>374</v>
      </c>
      <c r="BR427" s="73"/>
      <c r="CX427" s="73"/>
      <c r="EQ427" s="73"/>
    </row>
    <row r="428" spans="1:209" ht="14.25" customHeight="1" x14ac:dyDescent="0.25">
      <c r="A428" t="s">
        <v>631</v>
      </c>
      <c r="D428" t="s">
        <v>366</v>
      </c>
      <c r="E428" s="73">
        <v>46195</v>
      </c>
      <c r="F428" t="s">
        <v>367</v>
      </c>
      <c r="H428" t="s">
        <v>368</v>
      </c>
      <c r="I428" t="s">
        <v>368</v>
      </c>
      <c r="J428">
        <v>1985</v>
      </c>
      <c r="K428" t="s">
        <v>369</v>
      </c>
      <c r="L428" t="s">
        <v>370</v>
      </c>
      <c r="M428" t="s">
        <v>371</v>
      </c>
      <c r="N428" t="s">
        <v>371</v>
      </c>
      <c r="O428" t="s">
        <v>371</v>
      </c>
      <c r="P428" t="s">
        <v>371</v>
      </c>
      <c r="Q428" t="s">
        <v>371</v>
      </c>
      <c r="R428" t="s">
        <v>372</v>
      </c>
      <c r="S428" t="s">
        <v>372</v>
      </c>
      <c r="T428" t="s">
        <v>367</v>
      </c>
      <c r="U428" t="s">
        <v>367</v>
      </c>
      <c r="W428" t="s">
        <v>372</v>
      </c>
      <c r="X428" t="s">
        <v>461</v>
      </c>
      <c r="Y428" t="s">
        <v>461</v>
      </c>
      <c r="Z428" t="s">
        <v>374</v>
      </c>
      <c r="AB428" s="73"/>
      <c r="AQ428" s="73"/>
      <c r="BG428" t="s">
        <v>371</v>
      </c>
      <c r="BH428" t="s">
        <v>371</v>
      </c>
      <c r="BI428" t="s">
        <v>371</v>
      </c>
      <c r="BJ428" t="s">
        <v>371</v>
      </c>
      <c r="BK428" t="s">
        <v>371</v>
      </c>
      <c r="BL428" t="s">
        <v>371</v>
      </c>
      <c r="BM428" t="s">
        <v>371</v>
      </c>
      <c r="BN428" t="s">
        <v>371</v>
      </c>
      <c r="BO428" t="s">
        <v>371</v>
      </c>
      <c r="BQ428" t="s">
        <v>375</v>
      </c>
      <c r="BR428" s="73"/>
      <c r="CX428" s="73"/>
      <c r="EQ428" s="73"/>
      <c r="FT428">
        <v>0</v>
      </c>
      <c r="FZ428" t="s">
        <v>371</v>
      </c>
      <c r="GA428" t="s">
        <v>371</v>
      </c>
      <c r="GB428" t="s">
        <v>371</v>
      </c>
      <c r="GC428" t="s">
        <v>371</v>
      </c>
      <c r="GD428" t="s">
        <v>371</v>
      </c>
      <c r="GF428" t="s">
        <v>371</v>
      </c>
      <c r="GG428" t="s">
        <v>371</v>
      </c>
      <c r="GH428" t="s">
        <v>371</v>
      </c>
      <c r="GI428" t="s">
        <v>371</v>
      </c>
      <c r="GJ428" t="s">
        <v>371</v>
      </c>
      <c r="GK428" t="s">
        <v>371</v>
      </c>
      <c r="GN428" t="s">
        <v>371</v>
      </c>
      <c r="GO428" t="s">
        <v>371</v>
      </c>
      <c r="GP428" t="s">
        <v>371</v>
      </c>
      <c r="GQ428" t="s">
        <v>371</v>
      </c>
      <c r="GR428" t="s">
        <v>371</v>
      </c>
      <c r="GS428" t="s">
        <v>371</v>
      </c>
      <c r="GT428" t="s">
        <v>371</v>
      </c>
      <c r="GU428" t="s">
        <v>371</v>
      </c>
      <c r="GV428" t="s">
        <v>371</v>
      </c>
      <c r="GW428" t="s">
        <v>371</v>
      </c>
      <c r="GX428" t="s">
        <v>371</v>
      </c>
      <c r="HA428" t="s">
        <v>375</v>
      </c>
    </row>
    <row r="429" spans="1:209" ht="14.25" customHeight="1" x14ac:dyDescent="0.25">
      <c r="A429" t="s">
        <v>631</v>
      </c>
      <c r="B429" t="s">
        <v>376</v>
      </c>
      <c r="C429">
        <v>1</v>
      </c>
      <c r="D429" t="s">
        <v>366</v>
      </c>
      <c r="E429" s="73"/>
      <c r="AA429" t="s">
        <v>377</v>
      </c>
      <c r="AB429" s="73">
        <v>46195</v>
      </c>
      <c r="AC429" t="s">
        <v>378</v>
      </c>
      <c r="AF429" t="s">
        <v>379</v>
      </c>
      <c r="AI429" t="s">
        <v>380</v>
      </c>
      <c r="AJ429">
        <v>0</v>
      </c>
      <c r="AK429" t="s">
        <v>367</v>
      </c>
      <c r="AP429" t="s">
        <v>374</v>
      </c>
      <c r="AQ429" s="73"/>
      <c r="BR429" s="73"/>
      <c r="CX429" s="73"/>
      <c r="EQ429" s="73"/>
    </row>
    <row r="430" spans="1:209" ht="14.25" customHeight="1" x14ac:dyDescent="0.25">
      <c r="A430" t="s">
        <v>632</v>
      </c>
      <c r="D430" t="s">
        <v>366</v>
      </c>
      <c r="E430" s="73">
        <v>46195</v>
      </c>
      <c r="F430" t="s">
        <v>367</v>
      </c>
      <c r="H430" t="s">
        <v>403</v>
      </c>
      <c r="I430" t="s">
        <v>403</v>
      </c>
      <c r="J430">
        <v>1979</v>
      </c>
      <c r="K430" t="s">
        <v>391</v>
      </c>
      <c r="L430" t="s">
        <v>371</v>
      </c>
      <c r="M430" t="s">
        <v>371</v>
      </c>
      <c r="N430" t="s">
        <v>371</v>
      </c>
      <c r="O430" t="s">
        <v>371</v>
      </c>
      <c r="P430" t="s">
        <v>371</v>
      </c>
      <c r="Q430" t="s">
        <v>370</v>
      </c>
      <c r="R430" t="s">
        <v>372</v>
      </c>
      <c r="S430" t="s">
        <v>372</v>
      </c>
      <c r="T430" t="s">
        <v>372</v>
      </c>
      <c r="U430" t="s">
        <v>367</v>
      </c>
      <c r="W430" t="s">
        <v>367</v>
      </c>
      <c r="X430" t="s">
        <v>392</v>
      </c>
      <c r="Y430" t="s">
        <v>421</v>
      </c>
      <c r="Z430" t="s">
        <v>374</v>
      </c>
      <c r="AB430" s="73"/>
      <c r="AQ430" s="73"/>
      <c r="BG430" t="s">
        <v>371</v>
      </c>
      <c r="BH430" t="s">
        <v>371</v>
      </c>
      <c r="BI430" t="s">
        <v>371</v>
      </c>
      <c r="BJ430" t="s">
        <v>371</v>
      </c>
      <c r="BK430" t="s">
        <v>371</v>
      </c>
      <c r="BL430" t="s">
        <v>371</v>
      </c>
      <c r="BM430" t="s">
        <v>371</v>
      </c>
      <c r="BN430" t="s">
        <v>371</v>
      </c>
      <c r="BO430" t="s">
        <v>371</v>
      </c>
      <c r="BQ430" t="s">
        <v>375</v>
      </c>
      <c r="BR430" s="73"/>
      <c r="CX430" s="73"/>
      <c r="EQ430" s="73"/>
      <c r="FT430">
        <v>0</v>
      </c>
      <c r="FZ430" t="s">
        <v>371</v>
      </c>
      <c r="GA430" t="s">
        <v>371</v>
      </c>
      <c r="GB430" t="s">
        <v>371</v>
      </c>
      <c r="GC430" t="s">
        <v>371</v>
      </c>
      <c r="GD430" t="s">
        <v>371</v>
      </c>
      <c r="GF430" t="s">
        <v>371</v>
      </c>
      <c r="GG430" t="s">
        <v>371</v>
      </c>
      <c r="GH430" t="s">
        <v>371</v>
      </c>
      <c r="GI430" t="s">
        <v>371</v>
      </c>
      <c r="GJ430" t="s">
        <v>371</v>
      </c>
      <c r="GK430" t="s">
        <v>371</v>
      </c>
      <c r="GN430" t="s">
        <v>371</v>
      </c>
      <c r="GO430" t="s">
        <v>371</v>
      </c>
      <c r="GP430" t="s">
        <v>371</v>
      </c>
      <c r="GQ430" t="s">
        <v>371</v>
      </c>
      <c r="GR430" t="s">
        <v>371</v>
      </c>
      <c r="GS430" t="s">
        <v>371</v>
      </c>
      <c r="GT430" t="s">
        <v>371</v>
      </c>
      <c r="GU430" t="s">
        <v>371</v>
      </c>
      <c r="GV430" t="s">
        <v>371</v>
      </c>
      <c r="GW430" t="s">
        <v>371</v>
      </c>
      <c r="GX430" t="s">
        <v>371</v>
      </c>
      <c r="HA430" t="s">
        <v>375</v>
      </c>
    </row>
    <row r="431" spans="1:209" ht="14.25" customHeight="1" x14ac:dyDescent="0.25">
      <c r="A431" t="s">
        <v>632</v>
      </c>
      <c r="B431" t="s">
        <v>376</v>
      </c>
      <c r="C431">
        <v>1</v>
      </c>
      <c r="D431" t="s">
        <v>366</v>
      </c>
      <c r="E431" s="73"/>
      <c r="AA431" t="s">
        <v>377</v>
      </c>
      <c r="AB431" s="73">
        <v>46195</v>
      </c>
      <c r="AC431" t="s">
        <v>378</v>
      </c>
      <c r="AF431" t="s">
        <v>379</v>
      </c>
      <c r="AI431" t="s">
        <v>400</v>
      </c>
      <c r="AJ431">
        <v>0</v>
      </c>
      <c r="AK431" t="s">
        <v>372</v>
      </c>
      <c r="AP431" t="s">
        <v>374</v>
      </c>
      <c r="AQ431" s="73"/>
      <c r="BR431" s="73"/>
      <c r="CX431" s="73"/>
      <c r="EQ431" s="73"/>
    </row>
    <row r="432" spans="1:209" ht="14.25" customHeight="1" x14ac:dyDescent="0.25">
      <c r="A432" t="s">
        <v>633</v>
      </c>
      <c r="D432" t="s">
        <v>366</v>
      </c>
      <c r="E432" s="73">
        <v>46195</v>
      </c>
      <c r="F432" t="s">
        <v>367</v>
      </c>
      <c r="H432" t="s">
        <v>403</v>
      </c>
      <c r="I432" t="s">
        <v>403</v>
      </c>
      <c r="J432">
        <v>1980</v>
      </c>
      <c r="K432" t="s">
        <v>391</v>
      </c>
      <c r="L432" t="s">
        <v>370</v>
      </c>
      <c r="M432" t="s">
        <v>371</v>
      </c>
      <c r="N432" t="s">
        <v>371</v>
      </c>
      <c r="O432" t="s">
        <v>371</v>
      </c>
      <c r="P432" t="s">
        <v>371</v>
      </c>
      <c r="Q432" t="s">
        <v>371</v>
      </c>
      <c r="R432" t="s">
        <v>372</v>
      </c>
      <c r="S432" t="s">
        <v>372</v>
      </c>
      <c r="T432" t="s">
        <v>372</v>
      </c>
      <c r="U432" t="s">
        <v>367</v>
      </c>
      <c r="W432" t="s">
        <v>367</v>
      </c>
      <c r="X432" t="s">
        <v>392</v>
      </c>
      <c r="Y432" t="s">
        <v>396</v>
      </c>
      <c r="Z432" t="s">
        <v>374</v>
      </c>
      <c r="AB432" s="73"/>
      <c r="AQ432" s="73"/>
      <c r="BG432" t="s">
        <v>371</v>
      </c>
      <c r="BH432" t="s">
        <v>371</v>
      </c>
      <c r="BI432" t="s">
        <v>371</v>
      </c>
      <c r="BJ432" t="s">
        <v>371</v>
      </c>
      <c r="BK432" t="s">
        <v>371</v>
      </c>
      <c r="BL432" t="s">
        <v>371</v>
      </c>
      <c r="BM432" t="s">
        <v>371</v>
      </c>
      <c r="BN432" t="s">
        <v>371</v>
      </c>
      <c r="BO432" t="s">
        <v>371</v>
      </c>
      <c r="BQ432" t="s">
        <v>375</v>
      </c>
      <c r="BR432" s="73"/>
      <c r="CX432" s="73"/>
      <c r="EQ432" s="73"/>
      <c r="FT432">
        <v>0</v>
      </c>
      <c r="FZ432" t="s">
        <v>371</v>
      </c>
      <c r="GA432" t="s">
        <v>371</v>
      </c>
      <c r="GB432" t="s">
        <v>371</v>
      </c>
      <c r="GC432" t="s">
        <v>371</v>
      </c>
      <c r="GD432" t="s">
        <v>371</v>
      </c>
      <c r="GF432" t="s">
        <v>371</v>
      </c>
      <c r="GG432" t="s">
        <v>371</v>
      </c>
      <c r="GH432" t="s">
        <v>371</v>
      </c>
      <c r="GI432" t="s">
        <v>371</v>
      </c>
      <c r="GJ432" t="s">
        <v>371</v>
      </c>
      <c r="GK432" t="s">
        <v>371</v>
      </c>
      <c r="GN432" t="s">
        <v>371</v>
      </c>
      <c r="GO432" t="s">
        <v>371</v>
      </c>
      <c r="GP432" t="s">
        <v>371</v>
      </c>
      <c r="GQ432" t="s">
        <v>371</v>
      </c>
      <c r="GR432" t="s">
        <v>371</v>
      </c>
      <c r="GS432" t="s">
        <v>371</v>
      </c>
      <c r="GT432" t="s">
        <v>371</v>
      </c>
      <c r="GU432" t="s">
        <v>371</v>
      </c>
      <c r="GV432" t="s">
        <v>371</v>
      </c>
      <c r="GW432" t="s">
        <v>371</v>
      </c>
      <c r="GX432" t="s">
        <v>371</v>
      </c>
      <c r="HA432" t="s">
        <v>375</v>
      </c>
    </row>
    <row r="433" spans="1:209" ht="14.25" customHeight="1" x14ac:dyDescent="0.25">
      <c r="A433" t="s">
        <v>633</v>
      </c>
      <c r="B433" t="s">
        <v>376</v>
      </c>
      <c r="C433">
        <v>1</v>
      </c>
      <c r="D433" t="s">
        <v>366</v>
      </c>
      <c r="E433" s="73"/>
      <c r="AA433" t="s">
        <v>377</v>
      </c>
      <c r="AB433" s="73">
        <v>46195</v>
      </c>
      <c r="AC433" t="s">
        <v>378</v>
      </c>
      <c r="AF433" t="s">
        <v>379</v>
      </c>
      <c r="AI433" t="s">
        <v>400</v>
      </c>
      <c r="AJ433">
        <v>0</v>
      </c>
      <c r="AK433" t="s">
        <v>372</v>
      </c>
      <c r="AP433" t="s">
        <v>374</v>
      </c>
      <c r="AQ433" s="73"/>
      <c r="BR433" s="73"/>
      <c r="CX433" s="73"/>
      <c r="EQ433" s="73"/>
    </row>
    <row r="434" spans="1:209" ht="14.25" customHeight="1" x14ac:dyDescent="0.25">
      <c r="A434" t="s">
        <v>633</v>
      </c>
      <c r="B434" t="s">
        <v>381</v>
      </c>
      <c r="C434">
        <v>1</v>
      </c>
      <c r="D434" t="s">
        <v>366</v>
      </c>
      <c r="E434" s="73"/>
      <c r="AB434" s="73"/>
      <c r="AQ434" s="73">
        <v>46195</v>
      </c>
      <c r="AR434" t="s">
        <v>397</v>
      </c>
      <c r="AU434" t="s">
        <v>383</v>
      </c>
      <c r="AV434" t="s">
        <v>383</v>
      </c>
      <c r="AW434" t="s">
        <v>384</v>
      </c>
      <c r="AX434" t="s">
        <v>385</v>
      </c>
      <c r="AY434" t="s">
        <v>383</v>
      </c>
      <c r="AZ434" t="s">
        <v>384</v>
      </c>
      <c r="BA434" t="s">
        <v>367</v>
      </c>
      <c r="BB434" t="s">
        <v>367</v>
      </c>
      <c r="BC434">
        <v>5</v>
      </c>
      <c r="BD434" t="s">
        <v>374</v>
      </c>
      <c r="BR434" s="73"/>
      <c r="CX434" s="73"/>
      <c r="EQ434" s="73"/>
    </row>
    <row r="435" spans="1:209" ht="14.25" customHeight="1" x14ac:dyDescent="0.25">
      <c r="A435" t="s">
        <v>634</v>
      </c>
      <c r="D435" t="s">
        <v>366</v>
      </c>
      <c r="E435" s="73">
        <v>46195</v>
      </c>
      <c r="F435" t="s">
        <v>367</v>
      </c>
      <c r="H435" t="s">
        <v>368</v>
      </c>
      <c r="I435" t="s">
        <v>368</v>
      </c>
      <c r="J435">
        <v>2008</v>
      </c>
      <c r="K435" t="s">
        <v>369</v>
      </c>
      <c r="L435" t="s">
        <v>370</v>
      </c>
      <c r="M435" t="s">
        <v>371</v>
      </c>
      <c r="N435" t="s">
        <v>371</v>
      </c>
      <c r="O435" t="s">
        <v>371</v>
      </c>
      <c r="P435" t="s">
        <v>371</v>
      </c>
      <c r="Q435" t="s">
        <v>371</v>
      </c>
      <c r="R435" t="s">
        <v>372</v>
      </c>
      <c r="S435" t="s">
        <v>372</v>
      </c>
      <c r="T435" t="s">
        <v>372</v>
      </c>
      <c r="U435" t="s">
        <v>367</v>
      </c>
      <c r="W435" t="s">
        <v>372</v>
      </c>
      <c r="X435" t="s">
        <v>373</v>
      </c>
      <c r="Y435" t="s">
        <v>367</v>
      </c>
      <c r="Z435" t="s">
        <v>374</v>
      </c>
      <c r="AB435" s="73"/>
      <c r="AQ435" s="73"/>
      <c r="BG435" t="s">
        <v>371</v>
      </c>
      <c r="BH435" t="s">
        <v>371</v>
      </c>
      <c r="BI435" t="s">
        <v>371</v>
      </c>
      <c r="BJ435" t="s">
        <v>371</v>
      </c>
      <c r="BK435" t="s">
        <v>371</v>
      </c>
      <c r="BL435" t="s">
        <v>371</v>
      </c>
      <c r="BM435" t="s">
        <v>371</v>
      </c>
      <c r="BN435" t="s">
        <v>371</v>
      </c>
      <c r="BO435" t="s">
        <v>371</v>
      </c>
      <c r="BQ435" t="s">
        <v>375</v>
      </c>
      <c r="BR435" s="73"/>
      <c r="CX435" s="73"/>
      <c r="EQ435" s="73"/>
      <c r="FT435">
        <v>0</v>
      </c>
      <c r="FZ435" t="s">
        <v>371</v>
      </c>
      <c r="GA435" t="s">
        <v>371</v>
      </c>
      <c r="GB435" t="s">
        <v>371</v>
      </c>
      <c r="GC435" t="s">
        <v>371</v>
      </c>
      <c r="GD435" t="s">
        <v>371</v>
      </c>
      <c r="GF435" t="s">
        <v>371</v>
      </c>
      <c r="GG435" t="s">
        <v>371</v>
      </c>
      <c r="GH435" t="s">
        <v>371</v>
      </c>
      <c r="GI435" t="s">
        <v>371</v>
      </c>
      <c r="GJ435" t="s">
        <v>371</v>
      </c>
      <c r="GK435" t="s">
        <v>371</v>
      </c>
      <c r="GN435" t="s">
        <v>371</v>
      </c>
      <c r="GO435" t="s">
        <v>371</v>
      </c>
      <c r="GP435" t="s">
        <v>371</v>
      </c>
      <c r="GQ435" t="s">
        <v>371</v>
      </c>
      <c r="GR435" t="s">
        <v>371</v>
      </c>
      <c r="GS435" t="s">
        <v>371</v>
      </c>
      <c r="GT435" t="s">
        <v>371</v>
      </c>
      <c r="GU435" t="s">
        <v>371</v>
      </c>
      <c r="GV435" t="s">
        <v>371</v>
      </c>
      <c r="GW435" t="s">
        <v>371</v>
      </c>
      <c r="GX435" t="s">
        <v>371</v>
      </c>
      <c r="HA435" t="s">
        <v>375</v>
      </c>
    </row>
    <row r="436" spans="1:209" ht="14.25" customHeight="1" x14ac:dyDescent="0.25">
      <c r="A436" t="s">
        <v>634</v>
      </c>
      <c r="B436" t="s">
        <v>376</v>
      </c>
      <c r="C436">
        <v>1</v>
      </c>
      <c r="D436" t="s">
        <v>366</v>
      </c>
      <c r="E436" s="73"/>
      <c r="AA436" t="s">
        <v>377</v>
      </c>
      <c r="AB436" s="73">
        <v>46195</v>
      </c>
      <c r="AC436" t="s">
        <v>378</v>
      </c>
      <c r="AF436" t="s">
        <v>379</v>
      </c>
      <c r="AI436" t="s">
        <v>380</v>
      </c>
      <c r="AJ436">
        <v>0</v>
      </c>
      <c r="AK436" t="s">
        <v>367</v>
      </c>
      <c r="AP436" t="s">
        <v>374</v>
      </c>
      <c r="AQ436" s="73"/>
      <c r="BR436" s="73"/>
      <c r="CX436" s="73"/>
      <c r="EQ436" s="73"/>
    </row>
    <row r="437" spans="1:209" ht="14.25" customHeight="1" x14ac:dyDescent="0.25">
      <c r="A437" t="s">
        <v>635</v>
      </c>
      <c r="D437" t="s">
        <v>366</v>
      </c>
      <c r="E437" s="73">
        <v>46195</v>
      </c>
      <c r="F437" t="s">
        <v>367</v>
      </c>
      <c r="H437" t="s">
        <v>403</v>
      </c>
      <c r="I437" t="s">
        <v>403</v>
      </c>
      <c r="J437">
        <v>2007</v>
      </c>
      <c r="K437" t="s">
        <v>369</v>
      </c>
      <c r="L437" t="s">
        <v>371</v>
      </c>
      <c r="M437" t="s">
        <v>371</v>
      </c>
      <c r="N437" t="s">
        <v>371</v>
      </c>
      <c r="O437" t="s">
        <v>371</v>
      </c>
      <c r="P437" t="s">
        <v>371</v>
      </c>
      <c r="Q437" t="s">
        <v>370</v>
      </c>
      <c r="R437" t="s">
        <v>372</v>
      </c>
      <c r="S437" t="s">
        <v>372</v>
      </c>
      <c r="T437" t="s">
        <v>372</v>
      </c>
      <c r="U437" t="s">
        <v>367</v>
      </c>
      <c r="W437" t="s">
        <v>367</v>
      </c>
      <c r="X437" t="s">
        <v>373</v>
      </c>
      <c r="Y437" t="s">
        <v>367</v>
      </c>
      <c r="Z437" t="s">
        <v>374</v>
      </c>
      <c r="AB437" s="73"/>
      <c r="AQ437" s="73"/>
      <c r="BG437" t="s">
        <v>371</v>
      </c>
      <c r="BH437" t="s">
        <v>371</v>
      </c>
      <c r="BI437" t="s">
        <v>371</v>
      </c>
      <c r="BJ437" t="s">
        <v>371</v>
      </c>
      <c r="BK437" t="s">
        <v>371</v>
      </c>
      <c r="BL437" t="s">
        <v>371</v>
      </c>
      <c r="BM437" t="s">
        <v>371</v>
      </c>
      <c r="BN437" t="s">
        <v>371</v>
      </c>
      <c r="BO437" t="s">
        <v>371</v>
      </c>
      <c r="BQ437" t="s">
        <v>375</v>
      </c>
      <c r="BR437" s="73"/>
      <c r="CX437" s="73"/>
      <c r="EQ437" s="73"/>
      <c r="FT437">
        <v>0</v>
      </c>
      <c r="FZ437" t="s">
        <v>371</v>
      </c>
      <c r="GA437" t="s">
        <v>371</v>
      </c>
      <c r="GB437" t="s">
        <v>371</v>
      </c>
      <c r="GC437" t="s">
        <v>371</v>
      </c>
      <c r="GD437" t="s">
        <v>371</v>
      </c>
      <c r="GF437" t="s">
        <v>371</v>
      </c>
      <c r="GG437" t="s">
        <v>371</v>
      </c>
      <c r="GH437" t="s">
        <v>371</v>
      </c>
      <c r="GI437" t="s">
        <v>371</v>
      </c>
      <c r="GJ437" t="s">
        <v>371</v>
      </c>
      <c r="GK437" t="s">
        <v>371</v>
      </c>
      <c r="GN437" t="s">
        <v>371</v>
      </c>
      <c r="GO437" t="s">
        <v>371</v>
      </c>
      <c r="GP437" t="s">
        <v>371</v>
      </c>
      <c r="GQ437" t="s">
        <v>371</v>
      </c>
      <c r="GR437" t="s">
        <v>371</v>
      </c>
      <c r="GS437" t="s">
        <v>371</v>
      </c>
      <c r="GT437" t="s">
        <v>371</v>
      </c>
      <c r="GU437" t="s">
        <v>371</v>
      </c>
      <c r="GV437" t="s">
        <v>371</v>
      </c>
      <c r="GW437" t="s">
        <v>371</v>
      </c>
      <c r="GX437" t="s">
        <v>371</v>
      </c>
      <c r="HA437" t="s">
        <v>375</v>
      </c>
    </row>
    <row r="438" spans="1:209" ht="14.25" customHeight="1" x14ac:dyDescent="0.25">
      <c r="A438" t="s">
        <v>635</v>
      </c>
      <c r="B438" t="s">
        <v>376</v>
      </c>
      <c r="C438">
        <v>1</v>
      </c>
      <c r="D438" t="s">
        <v>366</v>
      </c>
      <c r="E438" s="73"/>
      <c r="AA438" t="s">
        <v>377</v>
      </c>
      <c r="AB438" s="73">
        <v>46195</v>
      </c>
      <c r="AC438" t="s">
        <v>378</v>
      </c>
      <c r="AF438" t="s">
        <v>379</v>
      </c>
      <c r="AI438" t="s">
        <v>380</v>
      </c>
      <c r="AJ438">
        <v>0</v>
      </c>
      <c r="AK438" t="s">
        <v>367</v>
      </c>
      <c r="AP438" t="s">
        <v>374</v>
      </c>
      <c r="AQ438" s="73"/>
      <c r="BR438" s="73"/>
      <c r="CX438" s="73"/>
      <c r="EQ438" s="73"/>
    </row>
    <row r="439" spans="1:209" ht="14.25" customHeight="1" x14ac:dyDescent="0.25">
      <c r="A439" t="s">
        <v>636</v>
      </c>
      <c r="D439" t="s">
        <v>366</v>
      </c>
      <c r="E439" s="73">
        <v>46195</v>
      </c>
      <c r="F439" t="s">
        <v>367</v>
      </c>
      <c r="H439" t="s">
        <v>403</v>
      </c>
      <c r="I439" t="s">
        <v>403</v>
      </c>
      <c r="J439">
        <v>1976</v>
      </c>
      <c r="K439" t="s">
        <v>369</v>
      </c>
      <c r="L439" t="s">
        <v>370</v>
      </c>
      <c r="M439" t="s">
        <v>371</v>
      </c>
      <c r="N439" t="s">
        <v>371</v>
      </c>
      <c r="O439" t="s">
        <v>371</v>
      </c>
      <c r="P439" t="s">
        <v>371</v>
      </c>
      <c r="Q439" t="s">
        <v>371</v>
      </c>
      <c r="R439" t="s">
        <v>372</v>
      </c>
      <c r="S439" t="s">
        <v>372</v>
      </c>
      <c r="T439" t="s">
        <v>367</v>
      </c>
      <c r="U439" t="s">
        <v>367</v>
      </c>
      <c r="W439" t="s">
        <v>367</v>
      </c>
      <c r="X439" t="s">
        <v>432</v>
      </c>
      <c r="Y439" t="s">
        <v>421</v>
      </c>
      <c r="Z439" t="s">
        <v>374</v>
      </c>
      <c r="AB439" s="73"/>
      <c r="AQ439" s="73"/>
      <c r="BG439" t="s">
        <v>371</v>
      </c>
      <c r="BH439" t="s">
        <v>371</v>
      </c>
      <c r="BI439" t="s">
        <v>371</v>
      </c>
      <c r="BJ439" t="s">
        <v>371</v>
      </c>
      <c r="BK439" t="s">
        <v>371</v>
      </c>
      <c r="BL439" t="s">
        <v>371</v>
      </c>
      <c r="BM439" t="s">
        <v>371</v>
      </c>
      <c r="BN439" t="s">
        <v>371</v>
      </c>
      <c r="BO439" t="s">
        <v>371</v>
      </c>
      <c r="BQ439" t="s">
        <v>375</v>
      </c>
      <c r="BR439" s="73"/>
      <c r="CX439" s="73"/>
      <c r="EQ439" s="73"/>
      <c r="FT439">
        <v>0</v>
      </c>
      <c r="FZ439" t="s">
        <v>371</v>
      </c>
      <c r="GA439" t="s">
        <v>371</v>
      </c>
      <c r="GB439" t="s">
        <v>371</v>
      </c>
      <c r="GC439" t="s">
        <v>371</v>
      </c>
      <c r="GD439" t="s">
        <v>371</v>
      </c>
      <c r="GF439" t="s">
        <v>371</v>
      </c>
      <c r="GG439" t="s">
        <v>371</v>
      </c>
      <c r="GH439" t="s">
        <v>371</v>
      </c>
      <c r="GI439" t="s">
        <v>371</v>
      </c>
      <c r="GJ439" t="s">
        <v>371</v>
      </c>
      <c r="GK439" t="s">
        <v>371</v>
      </c>
      <c r="GN439" t="s">
        <v>371</v>
      </c>
      <c r="GO439" t="s">
        <v>371</v>
      </c>
      <c r="GP439" t="s">
        <v>371</v>
      </c>
      <c r="GQ439" t="s">
        <v>371</v>
      </c>
      <c r="GR439" t="s">
        <v>371</v>
      </c>
      <c r="GS439" t="s">
        <v>371</v>
      </c>
      <c r="GT439" t="s">
        <v>371</v>
      </c>
      <c r="GU439" t="s">
        <v>371</v>
      </c>
      <c r="GV439" t="s">
        <v>371</v>
      </c>
      <c r="GW439" t="s">
        <v>371</v>
      </c>
      <c r="GX439" t="s">
        <v>371</v>
      </c>
      <c r="HA439" t="s">
        <v>375</v>
      </c>
    </row>
    <row r="440" spans="1:209" ht="14.25" customHeight="1" x14ac:dyDescent="0.25">
      <c r="A440" t="s">
        <v>636</v>
      </c>
      <c r="B440" t="s">
        <v>376</v>
      </c>
      <c r="C440">
        <v>1</v>
      </c>
      <c r="D440" t="s">
        <v>366</v>
      </c>
      <c r="E440" s="73"/>
      <c r="AA440" t="s">
        <v>377</v>
      </c>
      <c r="AB440" s="73">
        <v>46195</v>
      </c>
      <c r="AC440" t="s">
        <v>378</v>
      </c>
      <c r="AF440" t="s">
        <v>379</v>
      </c>
      <c r="AI440" t="s">
        <v>380</v>
      </c>
      <c r="AJ440">
        <v>0</v>
      </c>
      <c r="AK440" t="s">
        <v>372</v>
      </c>
      <c r="AP440" t="s">
        <v>374</v>
      </c>
      <c r="AQ440" s="73"/>
      <c r="BR440" s="73"/>
      <c r="CX440" s="73"/>
      <c r="EQ440" s="73"/>
    </row>
    <row r="441" spans="1:209" ht="14.25" customHeight="1" x14ac:dyDescent="0.25">
      <c r="A441" t="s">
        <v>636</v>
      </c>
      <c r="B441" t="s">
        <v>381</v>
      </c>
      <c r="C441">
        <v>1</v>
      </c>
      <c r="D441" t="s">
        <v>366</v>
      </c>
      <c r="E441" s="73"/>
      <c r="AB441" s="73"/>
      <c r="AQ441" s="73">
        <v>46195</v>
      </c>
      <c r="AR441" t="s">
        <v>397</v>
      </c>
      <c r="AU441" t="s">
        <v>383</v>
      </c>
      <c r="AV441" t="s">
        <v>383</v>
      </c>
      <c r="AW441" t="s">
        <v>384</v>
      </c>
      <c r="AX441" t="s">
        <v>385</v>
      </c>
      <c r="AY441" t="s">
        <v>383</v>
      </c>
      <c r="AZ441" t="s">
        <v>384</v>
      </c>
      <c r="BA441" t="s">
        <v>367</v>
      </c>
      <c r="BB441" t="s">
        <v>367</v>
      </c>
      <c r="BC441">
        <v>5</v>
      </c>
      <c r="BD441" t="s">
        <v>374</v>
      </c>
      <c r="BR441" s="73"/>
      <c r="CX441" s="73"/>
      <c r="EQ441" s="73"/>
    </row>
    <row r="442" spans="1:209" ht="14.25" customHeight="1" x14ac:dyDescent="0.25">
      <c r="A442" t="s">
        <v>637</v>
      </c>
      <c r="D442" t="s">
        <v>366</v>
      </c>
      <c r="E442" s="73">
        <v>46195</v>
      </c>
      <c r="F442" t="s">
        <v>367</v>
      </c>
      <c r="H442" t="s">
        <v>403</v>
      </c>
      <c r="I442" t="s">
        <v>403</v>
      </c>
      <c r="J442">
        <v>1981</v>
      </c>
      <c r="K442" t="s">
        <v>369</v>
      </c>
      <c r="L442" t="s">
        <v>371</v>
      </c>
      <c r="M442" t="s">
        <v>371</v>
      </c>
      <c r="N442" t="s">
        <v>371</v>
      </c>
      <c r="O442" t="s">
        <v>371</v>
      </c>
      <c r="P442" t="s">
        <v>371</v>
      </c>
      <c r="Q442" t="s">
        <v>370</v>
      </c>
      <c r="R442" t="s">
        <v>372</v>
      </c>
      <c r="S442" t="s">
        <v>372</v>
      </c>
      <c r="T442" t="s">
        <v>372</v>
      </c>
      <c r="U442" t="s">
        <v>367</v>
      </c>
      <c r="W442" t="s">
        <v>367</v>
      </c>
      <c r="X442" t="s">
        <v>432</v>
      </c>
      <c r="Y442" t="s">
        <v>421</v>
      </c>
      <c r="Z442" t="s">
        <v>374</v>
      </c>
      <c r="AB442" s="73"/>
      <c r="AQ442" s="73"/>
      <c r="BG442" t="s">
        <v>371</v>
      </c>
      <c r="BH442" t="s">
        <v>371</v>
      </c>
      <c r="BI442" t="s">
        <v>371</v>
      </c>
      <c r="BJ442" t="s">
        <v>371</v>
      </c>
      <c r="BK442" t="s">
        <v>371</v>
      </c>
      <c r="BL442" t="s">
        <v>371</v>
      </c>
      <c r="BM442" t="s">
        <v>371</v>
      </c>
      <c r="BN442" t="s">
        <v>371</v>
      </c>
      <c r="BO442" t="s">
        <v>371</v>
      </c>
      <c r="BQ442" t="s">
        <v>375</v>
      </c>
      <c r="BR442" s="73"/>
      <c r="CX442" s="73"/>
      <c r="EQ442" s="73"/>
      <c r="FT442">
        <v>0</v>
      </c>
      <c r="FZ442" t="s">
        <v>371</v>
      </c>
      <c r="GA442" t="s">
        <v>371</v>
      </c>
      <c r="GB442" t="s">
        <v>371</v>
      </c>
      <c r="GC442" t="s">
        <v>371</v>
      </c>
      <c r="GD442" t="s">
        <v>371</v>
      </c>
      <c r="GF442" t="s">
        <v>371</v>
      </c>
      <c r="GG442" t="s">
        <v>371</v>
      </c>
      <c r="GH442" t="s">
        <v>371</v>
      </c>
      <c r="GI442" t="s">
        <v>371</v>
      </c>
      <c r="GJ442" t="s">
        <v>371</v>
      </c>
      <c r="GK442" t="s">
        <v>371</v>
      </c>
      <c r="GN442" t="s">
        <v>371</v>
      </c>
      <c r="GO442" t="s">
        <v>371</v>
      </c>
      <c r="GP442" t="s">
        <v>371</v>
      </c>
      <c r="GQ442" t="s">
        <v>371</v>
      </c>
      <c r="GR442" t="s">
        <v>371</v>
      </c>
      <c r="GS442" t="s">
        <v>371</v>
      </c>
      <c r="GT442" t="s">
        <v>371</v>
      </c>
      <c r="GU442" t="s">
        <v>371</v>
      </c>
      <c r="GV442" t="s">
        <v>371</v>
      </c>
      <c r="GW442" t="s">
        <v>371</v>
      </c>
      <c r="GX442" t="s">
        <v>371</v>
      </c>
      <c r="HA442" t="s">
        <v>375</v>
      </c>
    </row>
    <row r="443" spans="1:209" ht="14.25" customHeight="1" x14ac:dyDescent="0.25">
      <c r="A443" t="s">
        <v>637</v>
      </c>
      <c r="B443" t="s">
        <v>376</v>
      </c>
      <c r="C443">
        <v>1</v>
      </c>
      <c r="D443" t="s">
        <v>366</v>
      </c>
      <c r="E443" s="73"/>
      <c r="AA443" t="s">
        <v>377</v>
      </c>
      <c r="AB443" s="73">
        <v>46195</v>
      </c>
      <c r="AC443" t="s">
        <v>378</v>
      </c>
      <c r="AF443" t="s">
        <v>379</v>
      </c>
      <c r="AI443" t="s">
        <v>380</v>
      </c>
      <c r="AJ443">
        <v>0</v>
      </c>
      <c r="AK443" t="s">
        <v>372</v>
      </c>
      <c r="AP443" t="s">
        <v>374</v>
      </c>
      <c r="AQ443" s="73"/>
      <c r="BR443" s="73"/>
      <c r="CX443" s="73"/>
      <c r="EQ443" s="73"/>
    </row>
    <row r="444" spans="1:209" ht="14.25" customHeight="1" x14ac:dyDescent="0.25">
      <c r="A444" t="s">
        <v>637</v>
      </c>
      <c r="B444" t="s">
        <v>381</v>
      </c>
      <c r="C444">
        <v>1</v>
      </c>
      <c r="D444" t="s">
        <v>366</v>
      </c>
      <c r="E444" s="73"/>
      <c r="AB444" s="73"/>
      <c r="AQ444" s="73">
        <v>46195</v>
      </c>
      <c r="AR444" t="s">
        <v>397</v>
      </c>
      <c r="AU444" t="s">
        <v>383</v>
      </c>
      <c r="AV444" t="s">
        <v>383</v>
      </c>
      <c r="AW444" t="s">
        <v>383</v>
      </c>
      <c r="AX444" t="s">
        <v>383</v>
      </c>
      <c r="AY444" t="s">
        <v>383</v>
      </c>
      <c r="AZ444" t="s">
        <v>383</v>
      </c>
      <c r="BA444" t="s">
        <v>367</v>
      </c>
      <c r="BB444" t="s">
        <v>367</v>
      </c>
      <c r="BC444">
        <v>6</v>
      </c>
      <c r="BD444" t="s">
        <v>374</v>
      </c>
      <c r="BR444" s="73"/>
      <c r="CX444" s="73"/>
      <c r="EQ444" s="73"/>
    </row>
    <row r="445" spans="1:209" ht="14.25" customHeight="1" x14ac:dyDescent="0.25">
      <c r="A445" t="s">
        <v>638</v>
      </c>
      <c r="D445" t="s">
        <v>366</v>
      </c>
      <c r="E445" s="73">
        <v>46195</v>
      </c>
      <c r="F445" t="s">
        <v>367</v>
      </c>
      <c r="H445" t="s">
        <v>403</v>
      </c>
      <c r="I445" t="s">
        <v>403</v>
      </c>
      <c r="J445">
        <v>1984</v>
      </c>
      <c r="K445" t="s">
        <v>448</v>
      </c>
      <c r="L445" t="s">
        <v>371</v>
      </c>
      <c r="M445" t="s">
        <v>370</v>
      </c>
      <c r="N445" t="s">
        <v>371</v>
      </c>
      <c r="O445" t="s">
        <v>371</v>
      </c>
      <c r="P445" t="s">
        <v>371</v>
      </c>
      <c r="Q445" t="s">
        <v>371</v>
      </c>
      <c r="R445" t="s">
        <v>372</v>
      </c>
      <c r="S445" t="s">
        <v>372</v>
      </c>
      <c r="T445" t="s">
        <v>372</v>
      </c>
      <c r="U445" t="s">
        <v>367</v>
      </c>
      <c r="W445" t="s">
        <v>367</v>
      </c>
      <c r="X445" t="s">
        <v>432</v>
      </c>
      <c r="Y445" t="s">
        <v>421</v>
      </c>
      <c r="Z445" t="s">
        <v>374</v>
      </c>
      <c r="AB445" s="73"/>
      <c r="AQ445" s="73"/>
      <c r="BG445" t="s">
        <v>371</v>
      </c>
      <c r="BH445" t="s">
        <v>371</v>
      </c>
      <c r="BI445" t="s">
        <v>371</v>
      </c>
      <c r="BJ445" t="s">
        <v>371</v>
      </c>
      <c r="BK445" t="s">
        <v>371</v>
      </c>
      <c r="BL445" t="s">
        <v>371</v>
      </c>
      <c r="BM445" t="s">
        <v>371</v>
      </c>
      <c r="BN445" t="s">
        <v>371</v>
      </c>
      <c r="BO445" t="s">
        <v>371</v>
      </c>
      <c r="BQ445" t="s">
        <v>375</v>
      </c>
      <c r="BR445" s="73"/>
      <c r="CX445" s="73"/>
      <c r="EQ445" s="73"/>
      <c r="FT445">
        <v>0</v>
      </c>
      <c r="FZ445" t="s">
        <v>371</v>
      </c>
      <c r="GA445" t="s">
        <v>371</v>
      </c>
      <c r="GB445" t="s">
        <v>371</v>
      </c>
      <c r="GC445" t="s">
        <v>371</v>
      </c>
      <c r="GD445" t="s">
        <v>371</v>
      </c>
      <c r="GF445" t="s">
        <v>371</v>
      </c>
      <c r="GG445" t="s">
        <v>371</v>
      </c>
      <c r="GH445" t="s">
        <v>371</v>
      </c>
      <c r="GI445" t="s">
        <v>371</v>
      </c>
      <c r="GJ445" t="s">
        <v>371</v>
      </c>
      <c r="GK445" t="s">
        <v>371</v>
      </c>
      <c r="GN445" t="s">
        <v>371</v>
      </c>
      <c r="GO445" t="s">
        <v>371</v>
      </c>
      <c r="GP445" t="s">
        <v>371</v>
      </c>
      <c r="GQ445" t="s">
        <v>371</v>
      </c>
      <c r="GR445" t="s">
        <v>371</v>
      </c>
      <c r="GS445" t="s">
        <v>371</v>
      </c>
      <c r="GT445" t="s">
        <v>371</v>
      </c>
      <c r="GU445" t="s">
        <v>371</v>
      </c>
      <c r="GV445" t="s">
        <v>371</v>
      </c>
      <c r="GW445" t="s">
        <v>371</v>
      </c>
      <c r="GX445" t="s">
        <v>371</v>
      </c>
      <c r="HA445" t="s">
        <v>375</v>
      </c>
    </row>
    <row r="446" spans="1:209" ht="14.25" customHeight="1" x14ac:dyDescent="0.25">
      <c r="A446" t="s">
        <v>638</v>
      </c>
      <c r="B446" t="s">
        <v>376</v>
      </c>
      <c r="C446">
        <v>1</v>
      </c>
      <c r="D446" t="s">
        <v>366</v>
      </c>
      <c r="E446" s="73"/>
      <c r="AA446" t="s">
        <v>377</v>
      </c>
      <c r="AB446" s="73">
        <v>46195</v>
      </c>
      <c r="AC446" t="s">
        <v>378</v>
      </c>
      <c r="AF446" t="s">
        <v>379</v>
      </c>
      <c r="AI446" t="s">
        <v>380</v>
      </c>
      <c r="AJ446">
        <v>0</v>
      </c>
      <c r="AK446" t="s">
        <v>372</v>
      </c>
      <c r="AP446" t="s">
        <v>374</v>
      </c>
      <c r="AQ446" s="73"/>
      <c r="BR446" s="73"/>
      <c r="CX446" s="73"/>
      <c r="EQ446" s="73"/>
    </row>
    <row r="447" spans="1:209" ht="14.25" customHeight="1" x14ac:dyDescent="0.25">
      <c r="A447" t="s">
        <v>638</v>
      </c>
      <c r="B447" t="s">
        <v>381</v>
      </c>
      <c r="C447">
        <v>1</v>
      </c>
      <c r="D447" t="s">
        <v>366</v>
      </c>
      <c r="E447" s="73"/>
      <c r="AB447" s="73"/>
      <c r="AQ447" s="73">
        <v>46195</v>
      </c>
      <c r="AR447" t="s">
        <v>397</v>
      </c>
      <c r="AU447" t="s">
        <v>384</v>
      </c>
      <c r="AV447" t="s">
        <v>383</v>
      </c>
      <c r="AW447" t="s">
        <v>384</v>
      </c>
      <c r="AX447" t="s">
        <v>385</v>
      </c>
      <c r="AY447" t="s">
        <v>384</v>
      </c>
      <c r="AZ447" t="s">
        <v>384</v>
      </c>
      <c r="BA447" t="s">
        <v>367</v>
      </c>
      <c r="BB447" t="s">
        <v>367</v>
      </c>
      <c r="BC447">
        <v>3</v>
      </c>
      <c r="BD447" t="s">
        <v>374</v>
      </c>
      <c r="BR447" s="73"/>
      <c r="CX447" s="73"/>
      <c r="EQ447" s="73"/>
    </row>
    <row r="448" spans="1:209" ht="14.25" customHeight="1" x14ac:dyDescent="0.25">
      <c r="A448" t="s">
        <v>639</v>
      </c>
      <c r="D448" t="s">
        <v>366</v>
      </c>
      <c r="E448" s="73">
        <v>46195</v>
      </c>
      <c r="F448" t="s">
        <v>367</v>
      </c>
      <c r="H448" t="s">
        <v>368</v>
      </c>
      <c r="I448" t="s">
        <v>368</v>
      </c>
      <c r="J448">
        <v>2006</v>
      </c>
      <c r="K448" t="s">
        <v>369</v>
      </c>
      <c r="L448" t="s">
        <v>370</v>
      </c>
      <c r="M448" t="s">
        <v>371</v>
      </c>
      <c r="N448" t="s">
        <v>371</v>
      </c>
      <c r="O448" t="s">
        <v>371</v>
      </c>
      <c r="P448" t="s">
        <v>371</v>
      </c>
      <c r="Q448" t="s">
        <v>371</v>
      </c>
      <c r="R448" t="s">
        <v>372</v>
      </c>
      <c r="S448" t="s">
        <v>372</v>
      </c>
      <c r="T448" t="s">
        <v>367</v>
      </c>
      <c r="U448" t="s">
        <v>367</v>
      </c>
      <c r="W448" t="s">
        <v>367</v>
      </c>
      <c r="X448" t="s">
        <v>373</v>
      </c>
      <c r="Y448" t="s">
        <v>367</v>
      </c>
      <c r="Z448" t="s">
        <v>374</v>
      </c>
      <c r="AB448" s="73"/>
      <c r="AQ448" s="73"/>
      <c r="BG448" t="s">
        <v>371</v>
      </c>
      <c r="BH448" t="s">
        <v>371</v>
      </c>
      <c r="BI448" t="s">
        <v>371</v>
      </c>
      <c r="BJ448" t="s">
        <v>371</v>
      </c>
      <c r="BK448" t="s">
        <v>371</v>
      </c>
      <c r="BL448" t="s">
        <v>371</v>
      </c>
      <c r="BM448" t="s">
        <v>371</v>
      </c>
      <c r="BN448" t="s">
        <v>371</v>
      </c>
      <c r="BO448" t="s">
        <v>371</v>
      </c>
      <c r="BQ448" t="s">
        <v>375</v>
      </c>
      <c r="BR448" s="73"/>
      <c r="CX448" s="73"/>
      <c r="EQ448" s="73"/>
      <c r="FT448">
        <v>0</v>
      </c>
      <c r="FZ448" t="s">
        <v>371</v>
      </c>
      <c r="GA448" t="s">
        <v>371</v>
      </c>
      <c r="GB448" t="s">
        <v>371</v>
      </c>
      <c r="GC448" t="s">
        <v>371</v>
      </c>
      <c r="GD448" t="s">
        <v>371</v>
      </c>
      <c r="GF448" t="s">
        <v>371</v>
      </c>
      <c r="GG448" t="s">
        <v>371</v>
      </c>
      <c r="GH448" t="s">
        <v>371</v>
      </c>
      <c r="GI448" t="s">
        <v>371</v>
      </c>
      <c r="GJ448" t="s">
        <v>371</v>
      </c>
      <c r="GK448" t="s">
        <v>371</v>
      </c>
      <c r="GN448" t="s">
        <v>371</v>
      </c>
      <c r="GO448" t="s">
        <v>371</v>
      </c>
      <c r="GP448" t="s">
        <v>371</v>
      </c>
      <c r="GQ448" t="s">
        <v>371</v>
      </c>
      <c r="GR448" t="s">
        <v>371</v>
      </c>
      <c r="GS448" t="s">
        <v>371</v>
      </c>
      <c r="GT448" t="s">
        <v>371</v>
      </c>
      <c r="GU448" t="s">
        <v>371</v>
      </c>
      <c r="GV448" t="s">
        <v>371</v>
      </c>
      <c r="GW448" t="s">
        <v>371</v>
      </c>
      <c r="GX448" t="s">
        <v>371</v>
      </c>
      <c r="HA448" t="s">
        <v>375</v>
      </c>
    </row>
    <row r="449" spans="1:209" ht="14.25" customHeight="1" x14ac:dyDescent="0.25">
      <c r="A449" t="s">
        <v>639</v>
      </c>
      <c r="B449" t="s">
        <v>376</v>
      </c>
      <c r="C449">
        <v>1</v>
      </c>
      <c r="D449" t="s">
        <v>366</v>
      </c>
      <c r="E449" s="73"/>
      <c r="AA449" t="s">
        <v>377</v>
      </c>
      <c r="AB449" s="73">
        <v>46195</v>
      </c>
      <c r="AC449" t="s">
        <v>378</v>
      </c>
      <c r="AF449" t="s">
        <v>379</v>
      </c>
      <c r="AI449" t="s">
        <v>380</v>
      </c>
      <c r="AJ449">
        <v>0</v>
      </c>
      <c r="AK449" t="s">
        <v>367</v>
      </c>
      <c r="AP449" t="s">
        <v>374</v>
      </c>
      <c r="AQ449" s="73"/>
      <c r="BR449" s="73"/>
      <c r="CX449" s="73"/>
      <c r="EQ449" s="73"/>
    </row>
    <row r="450" spans="1:209" ht="14.25" customHeight="1" x14ac:dyDescent="0.25">
      <c r="A450" t="s">
        <v>640</v>
      </c>
      <c r="D450" t="s">
        <v>366</v>
      </c>
      <c r="E450" s="73">
        <v>46195</v>
      </c>
      <c r="F450" t="s">
        <v>367</v>
      </c>
      <c r="H450" t="s">
        <v>368</v>
      </c>
      <c r="I450" t="s">
        <v>368</v>
      </c>
      <c r="J450">
        <v>2007</v>
      </c>
      <c r="K450" t="s">
        <v>369</v>
      </c>
      <c r="L450" t="s">
        <v>370</v>
      </c>
      <c r="M450" t="s">
        <v>371</v>
      </c>
      <c r="N450" t="s">
        <v>371</v>
      </c>
      <c r="O450" t="s">
        <v>371</v>
      </c>
      <c r="P450" t="s">
        <v>371</v>
      </c>
      <c r="Q450" t="s">
        <v>371</v>
      </c>
      <c r="R450" t="s">
        <v>372</v>
      </c>
      <c r="S450" t="s">
        <v>372</v>
      </c>
      <c r="T450" t="s">
        <v>367</v>
      </c>
      <c r="U450" t="s">
        <v>367</v>
      </c>
      <c r="W450" t="s">
        <v>367</v>
      </c>
      <c r="X450" t="s">
        <v>373</v>
      </c>
      <c r="Y450" t="s">
        <v>367</v>
      </c>
      <c r="Z450" t="s">
        <v>374</v>
      </c>
      <c r="AB450" s="73"/>
      <c r="AQ450" s="73"/>
      <c r="BG450" t="s">
        <v>371</v>
      </c>
      <c r="BH450" t="s">
        <v>371</v>
      </c>
      <c r="BI450" t="s">
        <v>371</v>
      </c>
      <c r="BJ450" t="s">
        <v>371</v>
      </c>
      <c r="BK450" t="s">
        <v>371</v>
      </c>
      <c r="BL450" t="s">
        <v>371</v>
      </c>
      <c r="BM450" t="s">
        <v>371</v>
      </c>
      <c r="BN450" t="s">
        <v>371</v>
      </c>
      <c r="BO450" t="s">
        <v>371</v>
      </c>
      <c r="BQ450" t="s">
        <v>375</v>
      </c>
      <c r="BR450" s="73"/>
      <c r="CX450" s="73"/>
      <c r="EQ450" s="73"/>
      <c r="FT450">
        <v>0</v>
      </c>
      <c r="FZ450" t="s">
        <v>371</v>
      </c>
      <c r="GA450" t="s">
        <v>371</v>
      </c>
      <c r="GB450" t="s">
        <v>371</v>
      </c>
      <c r="GC450" t="s">
        <v>371</v>
      </c>
      <c r="GD450" t="s">
        <v>371</v>
      </c>
      <c r="GF450" t="s">
        <v>371</v>
      </c>
      <c r="GG450" t="s">
        <v>371</v>
      </c>
      <c r="GH450" t="s">
        <v>371</v>
      </c>
      <c r="GI450" t="s">
        <v>371</v>
      </c>
      <c r="GJ450" t="s">
        <v>371</v>
      </c>
      <c r="GK450" t="s">
        <v>371</v>
      </c>
      <c r="GN450" t="s">
        <v>371</v>
      </c>
      <c r="GO450" t="s">
        <v>371</v>
      </c>
      <c r="GP450" t="s">
        <v>371</v>
      </c>
      <c r="GQ450" t="s">
        <v>371</v>
      </c>
      <c r="GR450" t="s">
        <v>371</v>
      </c>
      <c r="GS450" t="s">
        <v>371</v>
      </c>
      <c r="GT450" t="s">
        <v>371</v>
      </c>
      <c r="GU450" t="s">
        <v>371</v>
      </c>
      <c r="GV450" t="s">
        <v>371</v>
      </c>
      <c r="GW450" t="s">
        <v>371</v>
      </c>
      <c r="GX450" t="s">
        <v>371</v>
      </c>
      <c r="HA450" t="s">
        <v>375</v>
      </c>
    </row>
    <row r="451" spans="1:209" ht="14.25" customHeight="1" x14ac:dyDescent="0.25">
      <c r="A451" t="s">
        <v>640</v>
      </c>
      <c r="B451" t="s">
        <v>376</v>
      </c>
      <c r="C451">
        <v>1</v>
      </c>
      <c r="D451" t="s">
        <v>366</v>
      </c>
      <c r="E451" s="73"/>
      <c r="AA451" t="s">
        <v>377</v>
      </c>
      <c r="AB451" s="73">
        <v>46195</v>
      </c>
      <c r="AC451" t="s">
        <v>378</v>
      </c>
      <c r="AF451" t="s">
        <v>379</v>
      </c>
      <c r="AI451" t="s">
        <v>380</v>
      </c>
      <c r="AJ451">
        <v>0</v>
      </c>
      <c r="AK451" t="s">
        <v>367</v>
      </c>
      <c r="AP451" t="s">
        <v>374</v>
      </c>
      <c r="AQ451" s="73"/>
      <c r="BR451" s="73"/>
      <c r="CX451" s="73"/>
      <c r="EQ451" s="73"/>
    </row>
    <row r="452" spans="1:209" ht="14.25" customHeight="1" x14ac:dyDescent="0.25">
      <c r="A452" t="s">
        <v>641</v>
      </c>
      <c r="D452" t="s">
        <v>642</v>
      </c>
      <c r="E452" s="73">
        <v>46192</v>
      </c>
      <c r="H452" t="s">
        <v>403</v>
      </c>
      <c r="I452" t="s">
        <v>368</v>
      </c>
      <c r="J452">
        <v>2001</v>
      </c>
      <c r="K452" t="s">
        <v>643</v>
      </c>
      <c r="L452" t="s">
        <v>370</v>
      </c>
      <c r="M452" t="s">
        <v>371</v>
      </c>
      <c r="N452" t="s">
        <v>371</v>
      </c>
      <c r="O452" t="s">
        <v>371</v>
      </c>
      <c r="P452" t="s">
        <v>371</v>
      </c>
      <c r="Q452" t="s">
        <v>371</v>
      </c>
      <c r="R452" t="s">
        <v>489</v>
      </c>
      <c r="S452" t="s">
        <v>372</v>
      </c>
      <c r="T452" t="s">
        <v>372</v>
      </c>
      <c r="U452" t="s">
        <v>367</v>
      </c>
      <c r="W452" t="s">
        <v>367</v>
      </c>
      <c r="X452" t="s">
        <v>373</v>
      </c>
      <c r="Y452" t="s">
        <v>367</v>
      </c>
      <c r="Z452" t="s">
        <v>374</v>
      </c>
      <c r="AB452" s="73"/>
      <c r="AQ452" s="73"/>
      <c r="BG452" t="s">
        <v>371</v>
      </c>
      <c r="BH452" t="s">
        <v>371</v>
      </c>
      <c r="BI452" t="s">
        <v>371</v>
      </c>
      <c r="BJ452" t="s">
        <v>371</v>
      </c>
      <c r="BK452" t="s">
        <v>371</v>
      </c>
      <c r="BL452" t="s">
        <v>371</v>
      </c>
      <c r="BM452" t="s">
        <v>371</v>
      </c>
      <c r="BN452" t="s">
        <v>371</v>
      </c>
      <c r="BO452" t="s">
        <v>371</v>
      </c>
      <c r="BQ452" t="s">
        <v>375</v>
      </c>
      <c r="BR452" s="73"/>
      <c r="CX452" s="73"/>
      <c r="EQ452" s="73"/>
      <c r="FT452">
        <v>0</v>
      </c>
      <c r="FZ452" t="s">
        <v>371</v>
      </c>
      <c r="GA452" t="s">
        <v>371</v>
      </c>
      <c r="GB452" t="s">
        <v>371</v>
      </c>
      <c r="GC452" t="s">
        <v>371</v>
      </c>
      <c r="GD452" t="s">
        <v>371</v>
      </c>
      <c r="GF452" t="s">
        <v>371</v>
      </c>
      <c r="GG452" t="s">
        <v>371</v>
      </c>
      <c r="GH452" t="s">
        <v>371</v>
      </c>
      <c r="GI452" t="s">
        <v>371</v>
      </c>
      <c r="GJ452" t="s">
        <v>371</v>
      </c>
      <c r="GK452" t="s">
        <v>371</v>
      </c>
      <c r="GN452" t="s">
        <v>371</v>
      </c>
      <c r="GO452" t="s">
        <v>371</v>
      </c>
      <c r="GP452" t="s">
        <v>371</v>
      </c>
      <c r="GQ452" t="s">
        <v>371</v>
      </c>
      <c r="GR452" t="s">
        <v>371</v>
      </c>
      <c r="GS452" t="s">
        <v>371</v>
      </c>
      <c r="GT452" t="s">
        <v>371</v>
      </c>
      <c r="GU452" t="s">
        <v>371</v>
      </c>
      <c r="GV452" t="s">
        <v>371</v>
      </c>
      <c r="GW452" t="s">
        <v>371</v>
      </c>
      <c r="GX452" t="s">
        <v>371</v>
      </c>
      <c r="HA452" t="s">
        <v>375</v>
      </c>
    </row>
    <row r="453" spans="1:209" ht="14.25" customHeight="1" x14ac:dyDescent="0.25">
      <c r="A453" t="s">
        <v>641</v>
      </c>
      <c r="B453" t="s">
        <v>376</v>
      </c>
      <c r="C453">
        <v>1</v>
      </c>
      <c r="D453" t="s">
        <v>642</v>
      </c>
      <c r="E453" s="73"/>
      <c r="AA453" t="s">
        <v>377</v>
      </c>
      <c r="AB453" s="73">
        <v>46192</v>
      </c>
      <c r="AD453" t="s">
        <v>644</v>
      </c>
      <c r="AF453" t="s">
        <v>379</v>
      </c>
      <c r="AI453" t="s">
        <v>645</v>
      </c>
      <c r="AJ453">
        <v>0</v>
      </c>
      <c r="AK453" t="s">
        <v>372</v>
      </c>
      <c r="AP453" t="s">
        <v>374</v>
      </c>
      <c r="AQ453" s="73"/>
      <c r="BR453" s="73"/>
      <c r="CX453" s="73"/>
      <c r="EQ453" s="73"/>
    </row>
    <row r="454" spans="1:209" ht="14.25" customHeight="1" x14ac:dyDescent="0.25">
      <c r="A454" t="s">
        <v>641</v>
      </c>
      <c r="B454" t="s">
        <v>381</v>
      </c>
      <c r="C454">
        <v>1</v>
      </c>
      <c r="D454" t="s">
        <v>642</v>
      </c>
      <c r="E454" s="73"/>
      <c r="AB454" s="73"/>
      <c r="AQ454" s="73">
        <v>46192</v>
      </c>
      <c r="AS454" t="s">
        <v>644</v>
      </c>
      <c r="AU454" t="s">
        <v>383</v>
      </c>
      <c r="AV454" t="s">
        <v>383</v>
      </c>
      <c r="AW454" t="s">
        <v>385</v>
      </c>
      <c r="AX454" t="s">
        <v>385</v>
      </c>
      <c r="AY454" t="s">
        <v>383</v>
      </c>
      <c r="AZ454" t="s">
        <v>404</v>
      </c>
      <c r="BA454" t="s">
        <v>367</v>
      </c>
      <c r="BB454" t="s">
        <v>646</v>
      </c>
      <c r="BC454">
        <v>10</v>
      </c>
      <c r="BD454" t="s">
        <v>374</v>
      </c>
      <c r="BR454" s="73"/>
      <c r="CX454" s="73"/>
      <c r="EQ454" s="73"/>
    </row>
    <row r="455" spans="1:209" ht="14.25" customHeight="1" x14ac:dyDescent="0.25">
      <c r="A455" t="s">
        <v>647</v>
      </c>
      <c r="D455" t="s">
        <v>642</v>
      </c>
      <c r="E455" s="73">
        <v>46192</v>
      </c>
      <c r="H455" t="s">
        <v>648</v>
      </c>
      <c r="I455" t="s">
        <v>403</v>
      </c>
      <c r="J455">
        <v>2001</v>
      </c>
      <c r="K455" t="s">
        <v>643</v>
      </c>
      <c r="L455" t="s">
        <v>370</v>
      </c>
      <c r="M455" t="s">
        <v>371</v>
      </c>
      <c r="N455" t="s">
        <v>371</v>
      </c>
      <c r="O455" t="s">
        <v>371</v>
      </c>
      <c r="P455" t="s">
        <v>371</v>
      </c>
      <c r="Q455" t="s">
        <v>371</v>
      </c>
      <c r="R455" t="s">
        <v>372</v>
      </c>
      <c r="S455" t="s">
        <v>372</v>
      </c>
      <c r="T455" t="s">
        <v>372</v>
      </c>
      <c r="U455" t="s">
        <v>367</v>
      </c>
      <c r="W455" t="s">
        <v>367</v>
      </c>
      <c r="X455" t="s">
        <v>373</v>
      </c>
      <c r="Y455" t="s">
        <v>367</v>
      </c>
      <c r="Z455" t="s">
        <v>374</v>
      </c>
      <c r="AB455" s="73"/>
      <c r="AQ455" s="73"/>
      <c r="BG455" t="s">
        <v>371</v>
      </c>
      <c r="BH455" t="s">
        <v>371</v>
      </c>
      <c r="BI455" t="s">
        <v>371</v>
      </c>
      <c r="BJ455" t="s">
        <v>371</v>
      </c>
      <c r="BK455" t="s">
        <v>371</v>
      </c>
      <c r="BL455" t="s">
        <v>371</v>
      </c>
      <c r="BM455" t="s">
        <v>371</v>
      </c>
      <c r="BN455" t="s">
        <v>371</v>
      </c>
      <c r="BO455" t="s">
        <v>371</v>
      </c>
      <c r="BQ455" t="s">
        <v>375</v>
      </c>
      <c r="BR455" s="73"/>
      <c r="CX455" s="73"/>
      <c r="EQ455" s="73"/>
      <c r="FT455">
        <v>0</v>
      </c>
      <c r="FZ455" t="s">
        <v>371</v>
      </c>
      <c r="GA455" t="s">
        <v>371</v>
      </c>
      <c r="GB455" t="s">
        <v>371</v>
      </c>
      <c r="GC455" t="s">
        <v>371</v>
      </c>
      <c r="GD455" t="s">
        <v>371</v>
      </c>
      <c r="GF455" t="s">
        <v>371</v>
      </c>
      <c r="GG455" t="s">
        <v>371</v>
      </c>
      <c r="GH455" t="s">
        <v>371</v>
      </c>
      <c r="GI455" t="s">
        <v>371</v>
      </c>
      <c r="GJ455" t="s">
        <v>371</v>
      </c>
      <c r="GK455" t="s">
        <v>371</v>
      </c>
      <c r="GN455" t="s">
        <v>371</v>
      </c>
      <c r="GO455" t="s">
        <v>371</v>
      </c>
      <c r="GP455" t="s">
        <v>371</v>
      </c>
      <c r="GQ455" t="s">
        <v>371</v>
      </c>
      <c r="GR455" t="s">
        <v>371</v>
      </c>
      <c r="GS455" t="s">
        <v>371</v>
      </c>
      <c r="GT455" t="s">
        <v>371</v>
      </c>
      <c r="GU455" t="s">
        <v>371</v>
      </c>
      <c r="GV455" t="s">
        <v>371</v>
      </c>
      <c r="GW455" t="s">
        <v>371</v>
      </c>
      <c r="GX455" t="s">
        <v>371</v>
      </c>
      <c r="HA455" t="s">
        <v>375</v>
      </c>
    </row>
    <row r="456" spans="1:209" ht="14.25" customHeight="1" x14ac:dyDescent="0.25">
      <c r="A456" t="s">
        <v>647</v>
      </c>
      <c r="B456" t="s">
        <v>376</v>
      </c>
      <c r="C456">
        <v>1</v>
      </c>
      <c r="D456" t="s">
        <v>642</v>
      </c>
      <c r="E456" s="73"/>
      <c r="AA456" t="s">
        <v>377</v>
      </c>
      <c r="AB456" s="73">
        <v>46192</v>
      </c>
      <c r="AD456" t="s">
        <v>644</v>
      </c>
      <c r="AF456" t="s">
        <v>379</v>
      </c>
      <c r="AI456" t="s">
        <v>645</v>
      </c>
      <c r="AJ456">
        <v>0</v>
      </c>
      <c r="AK456" t="s">
        <v>372</v>
      </c>
      <c r="AP456" t="s">
        <v>374</v>
      </c>
      <c r="AQ456" s="73"/>
      <c r="BR456" s="73"/>
      <c r="CX456" s="73"/>
      <c r="EQ456" s="73"/>
    </row>
    <row r="457" spans="1:209" ht="14.25" customHeight="1" x14ac:dyDescent="0.25">
      <c r="A457" t="s">
        <v>647</v>
      </c>
      <c r="B457" t="s">
        <v>381</v>
      </c>
      <c r="C457">
        <v>1</v>
      </c>
      <c r="D457" t="s">
        <v>642</v>
      </c>
      <c r="E457" s="73"/>
      <c r="AB457" s="73"/>
      <c r="AQ457" s="73">
        <v>46192</v>
      </c>
      <c r="AS457" t="s">
        <v>644</v>
      </c>
      <c r="AU457" t="s">
        <v>404</v>
      </c>
      <c r="AV457" t="s">
        <v>385</v>
      </c>
      <c r="AW457" t="s">
        <v>384</v>
      </c>
      <c r="AX457" t="s">
        <v>383</v>
      </c>
      <c r="AY457" t="s">
        <v>384</v>
      </c>
      <c r="AZ457" t="s">
        <v>384</v>
      </c>
      <c r="BA457" t="s">
        <v>372</v>
      </c>
      <c r="BB457" t="s">
        <v>372</v>
      </c>
      <c r="BC457">
        <v>10</v>
      </c>
      <c r="BD457" t="s">
        <v>374</v>
      </c>
      <c r="BR457" s="73"/>
      <c r="CX457" s="73"/>
      <c r="EQ457" s="73"/>
    </row>
    <row r="458" spans="1:209" ht="14.25" customHeight="1" x14ac:dyDescent="0.25">
      <c r="A458" t="s">
        <v>649</v>
      </c>
      <c r="D458" t="s">
        <v>642</v>
      </c>
      <c r="E458" s="73">
        <v>46192</v>
      </c>
      <c r="H458" t="s">
        <v>648</v>
      </c>
      <c r="I458" t="s">
        <v>403</v>
      </c>
      <c r="J458">
        <v>1994</v>
      </c>
      <c r="K458" t="s">
        <v>643</v>
      </c>
      <c r="L458" t="s">
        <v>370</v>
      </c>
      <c r="M458" t="s">
        <v>371</v>
      </c>
      <c r="N458" t="s">
        <v>371</v>
      </c>
      <c r="O458" t="s">
        <v>371</v>
      </c>
      <c r="P458" t="s">
        <v>371</v>
      </c>
      <c r="Q458" t="s">
        <v>371</v>
      </c>
      <c r="R458" t="s">
        <v>372</v>
      </c>
      <c r="S458" t="s">
        <v>372</v>
      </c>
      <c r="T458" t="s">
        <v>372</v>
      </c>
      <c r="U458" t="s">
        <v>367</v>
      </c>
      <c r="W458" t="s">
        <v>367</v>
      </c>
      <c r="X458" t="s">
        <v>373</v>
      </c>
      <c r="Y458" t="s">
        <v>367</v>
      </c>
      <c r="Z458" t="s">
        <v>374</v>
      </c>
      <c r="AB458" s="73"/>
      <c r="AQ458" s="73"/>
      <c r="BG458" t="s">
        <v>371</v>
      </c>
      <c r="BH458" t="s">
        <v>371</v>
      </c>
      <c r="BI458" t="s">
        <v>371</v>
      </c>
      <c r="BJ458" t="s">
        <v>371</v>
      </c>
      <c r="BK458" t="s">
        <v>371</v>
      </c>
      <c r="BL458" t="s">
        <v>371</v>
      </c>
      <c r="BM458" t="s">
        <v>371</v>
      </c>
      <c r="BN458" t="s">
        <v>371</v>
      </c>
      <c r="BO458" t="s">
        <v>371</v>
      </c>
      <c r="BQ458" t="s">
        <v>375</v>
      </c>
      <c r="BR458" s="73"/>
      <c r="CX458" s="73"/>
      <c r="EQ458" s="73"/>
      <c r="FT458">
        <v>0</v>
      </c>
      <c r="FZ458" t="s">
        <v>371</v>
      </c>
      <c r="GA458" t="s">
        <v>371</v>
      </c>
      <c r="GB458" t="s">
        <v>371</v>
      </c>
      <c r="GC458" t="s">
        <v>371</v>
      </c>
      <c r="GD458" t="s">
        <v>371</v>
      </c>
      <c r="GF458" t="s">
        <v>371</v>
      </c>
      <c r="GG458" t="s">
        <v>371</v>
      </c>
      <c r="GH458" t="s">
        <v>371</v>
      </c>
      <c r="GI458" t="s">
        <v>371</v>
      </c>
      <c r="GJ458" t="s">
        <v>371</v>
      </c>
      <c r="GK458" t="s">
        <v>371</v>
      </c>
      <c r="GN458" t="s">
        <v>371</v>
      </c>
      <c r="GO458" t="s">
        <v>371</v>
      </c>
      <c r="GP458" t="s">
        <v>371</v>
      </c>
      <c r="GQ458" t="s">
        <v>371</v>
      </c>
      <c r="GR458" t="s">
        <v>371</v>
      </c>
      <c r="GS458" t="s">
        <v>371</v>
      </c>
      <c r="GT458" t="s">
        <v>371</v>
      </c>
      <c r="GU458" t="s">
        <v>371</v>
      </c>
      <c r="GV458" t="s">
        <v>371</v>
      </c>
      <c r="GW458" t="s">
        <v>371</v>
      </c>
      <c r="GX458" t="s">
        <v>371</v>
      </c>
      <c r="HA458" t="s">
        <v>375</v>
      </c>
    </row>
    <row r="459" spans="1:209" ht="14.25" customHeight="1" x14ac:dyDescent="0.25">
      <c r="A459" t="s">
        <v>649</v>
      </c>
      <c r="B459" t="s">
        <v>376</v>
      </c>
      <c r="C459">
        <v>1</v>
      </c>
      <c r="D459" t="s">
        <v>642</v>
      </c>
      <c r="E459" s="73"/>
      <c r="AA459" t="s">
        <v>377</v>
      </c>
      <c r="AB459" s="73">
        <v>46192</v>
      </c>
      <c r="AD459" t="s">
        <v>644</v>
      </c>
      <c r="AF459" t="s">
        <v>379</v>
      </c>
      <c r="AI459" t="s">
        <v>645</v>
      </c>
      <c r="AJ459">
        <v>0</v>
      </c>
      <c r="AK459" t="s">
        <v>372</v>
      </c>
      <c r="AP459" t="s">
        <v>374</v>
      </c>
      <c r="AQ459" s="73"/>
      <c r="BR459" s="73"/>
      <c r="CX459" s="73"/>
      <c r="EQ459" s="73"/>
    </row>
    <row r="460" spans="1:209" ht="14.25" customHeight="1" x14ac:dyDescent="0.25">
      <c r="A460" t="s">
        <v>649</v>
      </c>
      <c r="B460" t="s">
        <v>381</v>
      </c>
      <c r="C460">
        <v>1</v>
      </c>
      <c r="D460" t="s">
        <v>642</v>
      </c>
      <c r="E460" s="73"/>
      <c r="AB460" s="73"/>
      <c r="AQ460" s="73">
        <v>46192</v>
      </c>
      <c r="AS460" t="s">
        <v>644</v>
      </c>
      <c r="AU460" t="s">
        <v>384</v>
      </c>
      <c r="AV460" t="s">
        <v>385</v>
      </c>
      <c r="AW460" t="s">
        <v>383</v>
      </c>
      <c r="AX460" t="s">
        <v>404</v>
      </c>
      <c r="AY460" t="s">
        <v>385</v>
      </c>
      <c r="AZ460" t="s">
        <v>384</v>
      </c>
      <c r="BA460" t="s">
        <v>367</v>
      </c>
      <c r="BB460" t="s">
        <v>372</v>
      </c>
      <c r="BC460">
        <v>10</v>
      </c>
      <c r="BD460" t="s">
        <v>374</v>
      </c>
      <c r="BR460" s="73"/>
      <c r="CX460" s="73"/>
      <c r="EQ460" s="73"/>
    </row>
    <row r="461" spans="1:209" ht="14.25" customHeight="1" x14ac:dyDescent="0.25">
      <c r="A461" t="s">
        <v>650</v>
      </c>
      <c r="D461" t="s">
        <v>642</v>
      </c>
      <c r="E461" s="73">
        <v>46192</v>
      </c>
      <c r="H461" t="s">
        <v>648</v>
      </c>
      <c r="I461" t="s">
        <v>403</v>
      </c>
      <c r="J461">
        <v>2006</v>
      </c>
      <c r="K461" t="s">
        <v>643</v>
      </c>
      <c r="L461" t="s">
        <v>370</v>
      </c>
      <c r="M461" t="s">
        <v>371</v>
      </c>
      <c r="N461" t="s">
        <v>371</v>
      </c>
      <c r="O461" t="s">
        <v>371</v>
      </c>
      <c r="P461" t="s">
        <v>371</v>
      </c>
      <c r="Q461" t="s">
        <v>371</v>
      </c>
      <c r="R461" t="s">
        <v>489</v>
      </c>
      <c r="S461" t="s">
        <v>372</v>
      </c>
      <c r="T461" t="s">
        <v>372</v>
      </c>
      <c r="U461" t="s">
        <v>367</v>
      </c>
      <c r="W461" t="s">
        <v>367</v>
      </c>
      <c r="X461" t="s">
        <v>373</v>
      </c>
      <c r="Y461" t="s">
        <v>367</v>
      </c>
      <c r="Z461" t="s">
        <v>374</v>
      </c>
      <c r="AB461" s="73"/>
      <c r="AQ461" s="73"/>
      <c r="BG461" t="s">
        <v>371</v>
      </c>
      <c r="BH461" t="s">
        <v>371</v>
      </c>
      <c r="BI461" t="s">
        <v>371</v>
      </c>
      <c r="BJ461" t="s">
        <v>371</v>
      </c>
      <c r="BK461" t="s">
        <v>371</v>
      </c>
      <c r="BL461" t="s">
        <v>371</v>
      </c>
      <c r="BM461" t="s">
        <v>371</v>
      </c>
      <c r="BN461" t="s">
        <v>371</v>
      </c>
      <c r="BO461" t="s">
        <v>371</v>
      </c>
      <c r="BQ461" t="s">
        <v>375</v>
      </c>
      <c r="BR461" s="73"/>
      <c r="CX461" s="73"/>
      <c r="EQ461" s="73"/>
      <c r="FT461">
        <v>0</v>
      </c>
      <c r="FZ461" t="s">
        <v>371</v>
      </c>
      <c r="GA461" t="s">
        <v>371</v>
      </c>
      <c r="GB461" t="s">
        <v>371</v>
      </c>
      <c r="GC461" t="s">
        <v>371</v>
      </c>
      <c r="GD461" t="s">
        <v>371</v>
      </c>
      <c r="GF461" t="s">
        <v>371</v>
      </c>
      <c r="GG461" t="s">
        <v>371</v>
      </c>
      <c r="GH461" t="s">
        <v>371</v>
      </c>
      <c r="GI461" t="s">
        <v>371</v>
      </c>
      <c r="GJ461" t="s">
        <v>371</v>
      </c>
      <c r="GK461" t="s">
        <v>371</v>
      </c>
      <c r="GN461" t="s">
        <v>371</v>
      </c>
      <c r="GO461" t="s">
        <v>371</v>
      </c>
      <c r="GP461" t="s">
        <v>371</v>
      </c>
      <c r="GQ461" t="s">
        <v>371</v>
      </c>
      <c r="GR461" t="s">
        <v>371</v>
      </c>
      <c r="GS461" t="s">
        <v>371</v>
      </c>
      <c r="GT461" t="s">
        <v>371</v>
      </c>
      <c r="GU461" t="s">
        <v>371</v>
      </c>
      <c r="GV461" t="s">
        <v>371</v>
      </c>
      <c r="GW461" t="s">
        <v>371</v>
      </c>
      <c r="GX461" t="s">
        <v>371</v>
      </c>
      <c r="HA461" t="s">
        <v>375</v>
      </c>
    </row>
    <row r="462" spans="1:209" ht="14.25" customHeight="1" x14ac:dyDescent="0.25">
      <c r="A462" t="s">
        <v>650</v>
      </c>
      <c r="B462" t="s">
        <v>376</v>
      </c>
      <c r="C462">
        <v>1</v>
      </c>
      <c r="D462" t="s">
        <v>642</v>
      </c>
      <c r="E462" s="73"/>
      <c r="AA462" t="s">
        <v>377</v>
      </c>
      <c r="AB462" s="73">
        <v>46192</v>
      </c>
      <c r="AD462" t="s">
        <v>644</v>
      </c>
      <c r="AF462" t="s">
        <v>379</v>
      </c>
      <c r="AI462" t="s">
        <v>645</v>
      </c>
      <c r="AJ462">
        <v>0</v>
      </c>
      <c r="AK462" t="s">
        <v>372</v>
      </c>
      <c r="AP462" t="s">
        <v>374</v>
      </c>
      <c r="AQ462" s="73"/>
      <c r="BR462" s="73"/>
      <c r="CX462" s="73"/>
      <c r="EQ462" s="73"/>
    </row>
    <row r="463" spans="1:209" ht="14.25" customHeight="1" x14ac:dyDescent="0.25">
      <c r="A463" t="s">
        <v>650</v>
      </c>
      <c r="B463" t="s">
        <v>381</v>
      </c>
      <c r="C463">
        <v>1</v>
      </c>
      <c r="D463" t="s">
        <v>642</v>
      </c>
      <c r="E463" s="73"/>
      <c r="AB463" s="73"/>
      <c r="AQ463" s="73">
        <v>46192</v>
      </c>
      <c r="AS463" t="s">
        <v>644</v>
      </c>
      <c r="AU463" t="s">
        <v>383</v>
      </c>
      <c r="AV463" t="s">
        <v>385</v>
      </c>
      <c r="AW463" t="s">
        <v>384</v>
      </c>
      <c r="AX463" t="s">
        <v>404</v>
      </c>
      <c r="AY463" t="s">
        <v>383</v>
      </c>
      <c r="AZ463" t="s">
        <v>384</v>
      </c>
      <c r="BA463" t="s">
        <v>372</v>
      </c>
      <c r="BB463" t="s">
        <v>367</v>
      </c>
      <c r="BC463">
        <v>9</v>
      </c>
      <c r="BD463" t="s">
        <v>374</v>
      </c>
      <c r="BR463" s="73"/>
      <c r="CX463" s="73"/>
      <c r="EQ463" s="73"/>
    </row>
    <row r="464" spans="1:209" ht="14.25" customHeight="1" x14ac:dyDescent="0.25">
      <c r="A464" t="s">
        <v>651</v>
      </c>
      <c r="D464" t="s">
        <v>642</v>
      </c>
      <c r="E464" s="73">
        <v>46192</v>
      </c>
      <c r="H464" t="s">
        <v>648</v>
      </c>
      <c r="I464" t="s">
        <v>403</v>
      </c>
      <c r="J464">
        <v>2003</v>
      </c>
      <c r="K464" t="s">
        <v>643</v>
      </c>
      <c r="L464" t="s">
        <v>370</v>
      </c>
      <c r="M464" t="s">
        <v>371</v>
      </c>
      <c r="N464" t="s">
        <v>371</v>
      </c>
      <c r="O464" t="s">
        <v>371</v>
      </c>
      <c r="P464" t="s">
        <v>371</v>
      </c>
      <c r="Q464" t="s">
        <v>371</v>
      </c>
      <c r="R464" t="s">
        <v>372</v>
      </c>
      <c r="S464" t="s">
        <v>372</v>
      </c>
      <c r="T464" t="s">
        <v>372</v>
      </c>
      <c r="U464" t="s">
        <v>367</v>
      </c>
      <c r="W464" t="s">
        <v>367</v>
      </c>
      <c r="X464" t="s">
        <v>373</v>
      </c>
      <c r="Y464" t="s">
        <v>367</v>
      </c>
      <c r="Z464" t="s">
        <v>374</v>
      </c>
      <c r="AB464" s="73"/>
      <c r="AQ464" s="73"/>
      <c r="BG464" t="s">
        <v>371</v>
      </c>
      <c r="BH464" t="s">
        <v>371</v>
      </c>
      <c r="BI464" t="s">
        <v>371</v>
      </c>
      <c r="BJ464" t="s">
        <v>371</v>
      </c>
      <c r="BK464" t="s">
        <v>371</v>
      </c>
      <c r="BL464" t="s">
        <v>371</v>
      </c>
      <c r="BM464" t="s">
        <v>371</v>
      </c>
      <c r="BN464" t="s">
        <v>371</v>
      </c>
      <c r="BO464" t="s">
        <v>371</v>
      </c>
      <c r="BQ464" t="s">
        <v>375</v>
      </c>
      <c r="BR464" s="73"/>
      <c r="CX464" s="73"/>
      <c r="EQ464" s="73"/>
      <c r="FT464">
        <v>0</v>
      </c>
      <c r="FZ464" t="s">
        <v>371</v>
      </c>
      <c r="GA464" t="s">
        <v>371</v>
      </c>
      <c r="GB464" t="s">
        <v>371</v>
      </c>
      <c r="GC464" t="s">
        <v>371</v>
      </c>
      <c r="GD464" t="s">
        <v>371</v>
      </c>
      <c r="GF464" t="s">
        <v>371</v>
      </c>
      <c r="GG464" t="s">
        <v>371</v>
      </c>
      <c r="GH464" t="s">
        <v>371</v>
      </c>
      <c r="GI464" t="s">
        <v>371</v>
      </c>
      <c r="GJ464" t="s">
        <v>371</v>
      </c>
      <c r="GK464" t="s">
        <v>371</v>
      </c>
      <c r="GN464" t="s">
        <v>371</v>
      </c>
      <c r="GO464" t="s">
        <v>371</v>
      </c>
      <c r="GP464" t="s">
        <v>371</v>
      </c>
      <c r="GQ464" t="s">
        <v>371</v>
      </c>
      <c r="GR464" t="s">
        <v>371</v>
      </c>
      <c r="GS464" t="s">
        <v>371</v>
      </c>
      <c r="GT464" t="s">
        <v>371</v>
      </c>
      <c r="GU464" t="s">
        <v>371</v>
      </c>
      <c r="GV464" t="s">
        <v>371</v>
      </c>
      <c r="GW464" t="s">
        <v>371</v>
      </c>
      <c r="GX464" t="s">
        <v>371</v>
      </c>
      <c r="HA464" t="s">
        <v>375</v>
      </c>
    </row>
    <row r="465" spans="1:209" ht="14.25" customHeight="1" x14ac:dyDescent="0.25">
      <c r="A465" t="s">
        <v>651</v>
      </c>
      <c r="B465" t="s">
        <v>376</v>
      </c>
      <c r="C465">
        <v>1</v>
      </c>
      <c r="D465" t="s">
        <v>642</v>
      </c>
      <c r="E465" s="73"/>
      <c r="AA465" t="s">
        <v>377</v>
      </c>
      <c r="AB465" s="73">
        <v>46192</v>
      </c>
      <c r="AD465" t="s">
        <v>644</v>
      </c>
      <c r="AF465" t="s">
        <v>379</v>
      </c>
      <c r="AI465" t="s">
        <v>645</v>
      </c>
      <c r="AJ465">
        <v>0</v>
      </c>
      <c r="AK465" t="s">
        <v>372</v>
      </c>
      <c r="AP465" t="s">
        <v>374</v>
      </c>
      <c r="AQ465" s="73"/>
      <c r="BR465" s="73"/>
      <c r="CX465" s="73"/>
      <c r="EQ465" s="73"/>
    </row>
    <row r="466" spans="1:209" ht="14.25" customHeight="1" x14ac:dyDescent="0.25">
      <c r="A466" t="s">
        <v>651</v>
      </c>
      <c r="B466" t="s">
        <v>381</v>
      </c>
      <c r="C466">
        <v>1</v>
      </c>
      <c r="D466" t="s">
        <v>642</v>
      </c>
      <c r="E466" s="73"/>
      <c r="AB466" s="73"/>
      <c r="AQ466" s="73">
        <v>46192</v>
      </c>
      <c r="AS466" t="s">
        <v>644</v>
      </c>
      <c r="AU466" t="s">
        <v>404</v>
      </c>
      <c r="AV466" t="s">
        <v>383</v>
      </c>
      <c r="AW466" t="s">
        <v>384</v>
      </c>
      <c r="AX466" t="s">
        <v>385</v>
      </c>
      <c r="AY466" t="s">
        <v>383</v>
      </c>
      <c r="AZ466" t="s">
        <v>385</v>
      </c>
      <c r="BA466" t="s">
        <v>367</v>
      </c>
      <c r="BB466" t="s">
        <v>367</v>
      </c>
      <c r="BC466">
        <v>9</v>
      </c>
      <c r="BD466" t="s">
        <v>374</v>
      </c>
      <c r="BR466" s="73"/>
      <c r="CX466" s="73"/>
      <c r="EQ466" s="73"/>
    </row>
    <row r="467" spans="1:209" ht="14.25" customHeight="1" x14ac:dyDescent="0.25">
      <c r="A467" t="s">
        <v>652</v>
      </c>
      <c r="D467" t="s">
        <v>642</v>
      </c>
      <c r="E467" s="73">
        <v>46192</v>
      </c>
      <c r="H467" t="s">
        <v>368</v>
      </c>
      <c r="I467" t="s">
        <v>403</v>
      </c>
      <c r="J467">
        <v>2001</v>
      </c>
      <c r="K467" t="s">
        <v>643</v>
      </c>
      <c r="L467" t="s">
        <v>370</v>
      </c>
      <c r="M467" t="s">
        <v>371</v>
      </c>
      <c r="N467" t="s">
        <v>371</v>
      </c>
      <c r="O467" t="s">
        <v>371</v>
      </c>
      <c r="P467" t="s">
        <v>371</v>
      </c>
      <c r="Q467" t="s">
        <v>371</v>
      </c>
      <c r="R467" t="s">
        <v>372</v>
      </c>
      <c r="S467" t="s">
        <v>372</v>
      </c>
      <c r="T467" t="s">
        <v>367</v>
      </c>
      <c r="U467" t="s">
        <v>367</v>
      </c>
      <c r="W467" t="s">
        <v>367</v>
      </c>
      <c r="X467" t="s">
        <v>373</v>
      </c>
      <c r="Y467" t="s">
        <v>367</v>
      </c>
      <c r="Z467" t="s">
        <v>374</v>
      </c>
      <c r="AB467" s="73"/>
      <c r="AQ467" s="73"/>
      <c r="BG467" t="s">
        <v>371</v>
      </c>
      <c r="BH467" t="s">
        <v>371</v>
      </c>
      <c r="BI467" t="s">
        <v>371</v>
      </c>
      <c r="BJ467" t="s">
        <v>371</v>
      </c>
      <c r="BK467" t="s">
        <v>371</v>
      </c>
      <c r="BL467" t="s">
        <v>371</v>
      </c>
      <c r="BM467" t="s">
        <v>371</v>
      </c>
      <c r="BN467" t="s">
        <v>371</v>
      </c>
      <c r="BO467" t="s">
        <v>371</v>
      </c>
      <c r="BQ467" t="s">
        <v>375</v>
      </c>
      <c r="BR467" s="73"/>
      <c r="CX467" s="73"/>
      <c r="EQ467" s="73"/>
      <c r="FT467">
        <v>0</v>
      </c>
      <c r="FZ467" t="s">
        <v>371</v>
      </c>
      <c r="GA467" t="s">
        <v>371</v>
      </c>
      <c r="GB467" t="s">
        <v>371</v>
      </c>
      <c r="GC467" t="s">
        <v>371</v>
      </c>
      <c r="GD467" t="s">
        <v>371</v>
      </c>
      <c r="GF467" t="s">
        <v>371</v>
      </c>
      <c r="GG467" t="s">
        <v>371</v>
      </c>
      <c r="GH467" t="s">
        <v>371</v>
      </c>
      <c r="GI467" t="s">
        <v>371</v>
      </c>
      <c r="GJ467" t="s">
        <v>371</v>
      </c>
      <c r="GK467" t="s">
        <v>371</v>
      </c>
      <c r="GN467" t="s">
        <v>371</v>
      </c>
      <c r="GO467" t="s">
        <v>371</v>
      </c>
      <c r="GP467" t="s">
        <v>371</v>
      </c>
      <c r="GQ467" t="s">
        <v>371</v>
      </c>
      <c r="GR467" t="s">
        <v>371</v>
      </c>
      <c r="GS467" t="s">
        <v>371</v>
      </c>
      <c r="GT467" t="s">
        <v>371</v>
      </c>
      <c r="GU467" t="s">
        <v>371</v>
      </c>
      <c r="GV467" t="s">
        <v>371</v>
      </c>
      <c r="GW467" t="s">
        <v>371</v>
      </c>
      <c r="GX467" t="s">
        <v>371</v>
      </c>
      <c r="HA467" t="s">
        <v>375</v>
      </c>
    </row>
    <row r="468" spans="1:209" ht="14.25" customHeight="1" x14ac:dyDescent="0.25">
      <c r="A468" t="s">
        <v>652</v>
      </c>
      <c r="B468" t="s">
        <v>376</v>
      </c>
      <c r="C468">
        <v>1</v>
      </c>
      <c r="D468" t="s">
        <v>642</v>
      </c>
      <c r="E468" s="73"/>
      <c r="AA468" t="s">
        <v>377</v>
      </c>
      <c r="AB468" s="73">
        <v>46192</v>
      </c>
      <c r="AD468" t="s">
        <v>644</v>
      </c>
      <c r="AF468" t="s">
        <v>379</v>
      </c>
      <c r="AI468" t="s">
        <v>645</v>
      </c>
      <c r="AJ468">
        <v>0</v>
      </c>
      <c r="AK468" t="s">
        <v>372</v>
      </c>
      <c r="AP468" t="s">
        <v>374</v>
      </c>
      <c r="AQ468" s="73"/>
      <c r="BR468" s="73"/>
      <c r="CX468" s="73"/>
      <c r="EQ468" s="73"/>
    </row>
    <row r="469" spans="1:209" ht="14.25" customHeight="1" x14ac:dyDescent="0.25">
      <c r="A469" t="s">
        <v>652</v>
      </c>
      <c r="B469" t="s">
        <v>381</v>
      </c>
      <c r="C469">
        <v>1</v>
      </c>
      <c r="D469" t="s">
        <v>642</v>
      </c>
      <c r="E469" s="73"/>
      <c r="AB469" s="73"/>
      <c r="AQ469" s="73">
        <v>46192</v>
      </c>
      <c r="AS469" t="s">
        <v>644</v>
      </c>
      <c r="AU469" t="s">
        <v>384</v>
      </c>
      <c r="AV469" t="s">
        <v>404</v>
      </c>
      <c r="AW469" t="s">
        <v>384</v>
      </c>
      <c r="AX469" t="s">
        <v>404</v>
      </c>
      <c r="AY469" t="s">
        <v>404</v>
      </c>
      <c r="AZ469" t="s">
        <v>404</v>
      </c>
      <c r="BA469" t="s">
        <v>372</v>
      </c>
      <c r="BB469" t="s">
        <v>367</v>
      </c>
      <c r="BC469">
        <v>14</v>
      </c>
      <c r="BD469" t="s">
        <v>374</v>
      </c>
      <c r="BR469" s="73"/>
      <c r="CX469" s="73"/>
      <c r="EQ469" s="73"/>
    </row>
    <row r="470" spans="1:209" ht="14.25" customHeight="1" x14ac:dyDescent="0.25">
      <c r="A470" t="s">
        <v>653</v>
      </c>
      <c r="D470" t="s">
        <v>642</v>
      </c>
      <c r="E470" s="73">
        <v>46192</v>
      </c>
      <c r="H470" t="s">
        <v>368</v>
      </c>
      <c r="I470" t="s">
        <v>403</v>
      </c>
      <c r="J470">
        <v>2003</v>
      </c>
      <c r="K470" t="s">
        <v>643</v>
      </c>
      <c r="L470" t="s">
        <v>370</v>
      </c>
      <c r="M470" t="s">
        <v>371</v>
      </c>
      <c r="N470" t="s">
        <v>371</v>
      </c>
      <c r="O470" t="s">
        <v>371</v>
      </c>
      <c r="P470" t="s">
        <v>371</v>
      </c>
      <c r="Q470" t="s">
        <v>371</v>
      </c>
      <c r="R470" t="s">
        <v>372</v>
      </c>
      <c r="S470" t="s">
        <v>372</v>
      </c>
      <c r="T470" t="s">
        <v>372</v>
      </c>
      <c r="U470" t="s">
        <v>367</v>
      </c>
      <c r="W470" t="s">
        <v>367</v>
      </c>
      <c r="X470" t="s">
        <v>373</v>
      </c>
      <c r="Y470" t="s">
        <v>367</v>
      </c>
      <c r="Z470" t="s">
        <v>374</v>
      </c>
      <c r="AB470" s="73"/>
      <c r="AQ470" s="73"/>
      <c r="BG470" t="s">
        <v>371</v>
      </c>
      <c r="BH470" t="s">
        <v>371</v>
      </c>
      <c r="BI470" t="s">
        <v>371</v>
      </c>
      <c r="BJ470" t="s">
        <v>371</v>
      </c>
      <c r="BK470" t="s">
        <v>371</v>
      </c>
      <c r="BL470" t="s">
        <v>371</v>
      </c>
      <c r="BM470" t="s">
        <v>371</v>
      </c>
      <c r="BN470" t="s">
        <v>371</v>
      </c>
      <c r="BO470" t="s">
        <v>371</v>
      </c>
      <c r="BQ470" t="s">
        <v>375</v>
      </c>
      <c r="BR470" s="73"/>
      <c r="CX470" s="73"/>
      <c r="EQ470" s="73"/>
      <c r="FT470">
        <v>0</v>
      </c>
      <c r="FZ470" t="s">
        <v>371</v>
      </c>
      <c r="GA470" t="s">
        <v>371</v>
      </c>
      <c r="GB470" t="s">
        <v>371</v>
      </c>
      <c r="GC470" t="s">
        <v>371</v>
      </c>
      <c r="GD470" t="s">
        <v>371</v>
      </c>
      <c r="GF470" t="s">
        <v>371</v>
      </c>
      <c r="GG470" t="s">
        <v>371</v>
      </c>
      <c r="GH470" t="s">
        <v>371</v>
      </c>
      <c r="GI470" t="s">
        <v>371</v>
      </c>
      <c r="GJ470" t="s">
        <v>371</v>
      </c>
      <c r="GK470" t="s">
        <v>371</v>
      </c>
      <c r="GN470" t="s">
        <v>371</v>
      </c>
      <c r="GO470" t="s">
        <v>371</v>
      </c>
      <c r="GP470" t="s">
        <v>371</v>
      </c>
      <c r="GQ470" t="s">
        <v>371</v>
      </c>
      <c r="GR470" t="s">
        <v>371</v>
      </c>
      <c r="GS470" t="s">
        <v>371</v>
      </c>
      <c r="GT470" t="s">
        <v>371</v>
      </c>
      <c r="GU470" t="s">
        <v>371</v>
      </c>
      <c r="GV470" t="s">
        <v>371</v>
      </c>
      <c r="GW470" t="s">
        <v>371</v>
      </c>
      <c r="GX470" t="s">
        <v>371</v>
      </c>
      <c r="HA470" t="s">
        <v>375</v>
      </c>
    </row>
    <row r="471" spans="1:209" ht="14.25" customHeight="1" x14ac:dyDescent="0.25">
      <c r="A471" t="s">
        <v>653</v>
      </c>
      <c r="B471" t="s">
        <v>376</v>
      </c>
      <c r="C471">
        <v>1</v>
      </c>
      <c r="D471" t="s">
        <v>642</v>
      </c>
      <c r="E471" s="73"/>
      <c r="AA471" t="s">
        <v>377</v>
      </c>
      <c r="AB471" s="73">
        <v>46192</v>
      </c>
      <c r="AD471" t="s">
        <v>644</v>
      </c>
      <c r="AF471" t="s">
        <v>379</v>
      </c>
      <c r="AI471" t="s">
        <v>645</v>
      </c>
      <c r="AJ471">
        <v>0</v>
      </c>
      <c r="AK471" t="s">
        <v>372</v>
      </c>
      <c r="AP471" t="s">
        <v>374</v>
      </c>
      <c r="AQ471" s="73"/>
      <c r="BR471" s="73"/>
      <c r="CX471" s="73"/>
      <c r="EQ471" s="73"/>
    </row>
    <row r="472" spans="1:209" ht="14.25" customHeight="1" x14ac:dyDescent="0.25">
      <c r="A472" t="s">
        <v>653</v>
      </c>
      <c r="B472" t="s">
        <v>381</v>
      </c>
      <c r="C472">
        <v>1</v>
      </c>
      <c r="D472" t="s">
        <v>642</v>
      </c>
      <c r="E472" s="73"/>
      <c r="AB472" s="73"/>
      <c r="AQ472" s="73">
        <v>46192</v>
      </c>
      <c r="AS472" t="s">
        <v>644</v>
      </c>
      <c r="AU472" t="s">
        <v>404</v>
      </c>
      <c r="AV472" t="s">
        <v>404</v>
      </c>
      <c r="AW472" t="s">
        <v>383</v>
      </c>
      <c r="AX472" t="s">
        <v>404</v>
      </c>
      <c r="AY472" t="s">
        <v>383</v>
      </c>
      <c r="AZ472" t="s">
        <v>404</v>
      </c>
      <c r="BA472" t="s">
        <v>372</v>
      </c>
      <c r="BB472" t="s">
        <v>367</v>
      </c>
      <c r="BC472">
        <v>16</v>
      </c>
      <c r="BD472" t="s">
        <v>374</v>
      </c>
      <c r="BR472" s="73"/>
      <c r="CX472" s="73"/>
      <c r="EQ472" s="73"/>
    </row>
    <row r="473" spans="1:209" ht="14.25" customHeight="1" x14ac:dyDescent="0.25">
      <c r="A473" t="s">
        <v>653</v>
      </c>
      <c r="B473" t="s">
        <v>410</v>
      </c>
      <c r="C473">
        <v>1</v>
      </c>
      <c r="D473" t="s">
        <v>642</v>
      </c>
      <c r="E473" s="73"/>
      <c r="AB473" s="73"/>
      <c r="AQ473" s="73"/>
      <c r="BR473" s="73"/>
      <c r="CX473" s="73">
        <v>46198</v>
      </c>
      <c r="CY473" t="s">
        <v>411</v>
      </c>
      <c r="CZ473" t="s">
        <v>422</v>
      </c>
      <c r="DA473" t="s">
        <v>413</v>
      </c>
      <c r="DC473" t="s">
        <v>414</v>
      </c>
      <c r="DE473" t="s">
        <v>654</v>
      </c>
      <c r="DF473" t="s">
        <v>655</v>
      </c>
      <c r="DG473" t="s">
        <v>372</v>
      </c>
      <c r="DH473" t="s">
        <v>367</v>
      </c>
      <c r="DI473" t="s">
        <v>372</v>
      </c>
      <c r="DJ473" t="s">
        <v>656</v>
      </c>
      <c r="DK473" t="s">
        <v>370</v>
      </c>
      <c r="DL473" t="s">
        <v>371</v>
      </c>
      <c r="DM473" t="s">
        <v>370</v>
      </c>
      <c r="DN473" t="s">
        <v>371</v>
      </c>
      <c r="DO473" t="s">
        <v>372</v>
      </c>
      <c r="DQ473" t="s">
        <v>370</v>
      </c>
      <c r="DR473" t="s">
        <v>371</v>
      </c>
      <c r="DS473" t="s">
        <v>371</v>
      </c>
      <c r="DT473" t="s">
        <v>371</v>
      </c>
      <c r="DU473" t="s">
        <v>371</v>
      </c>
      <c r="DV473" t="s">
        <v>371</v>
      </c>
      <c r="DW473" t="s">
        <v>371</v>
      </c>
      <c r="DX473" t="s">
        <v>371</v>
      </c>
      <c r="DY473" t="s">
        <v>371</v>
      </c>
      <c r="DZ473" t="s">
        <v>370</v>
      </c>
      <c r="EA473" t="s">
        <v>371</v>
      </c>
      <c r="EB473" t="s">
        <v>371</v>
      </c>
      <c r="EC473" t="s">
        <v>371</v>
      </c>
      <c r="ED473" t="s">
        <v>371</v>
      </c>
      <c r="EE473" t="s">
        <v>371</v>
      </c>
      <c r="EF473" t="s">
        <v>371</v>
      </c>
      <c r="EG473" t="s">
        <v>371</v>
      </c>
      <c r="EH473" t="s">
        <v>371</v>
      </c>
      <c r="EI473" t="s">
        <v>657</v>
      </c>
      <c r="EJ473" t="s">
        <v>370</v>
      </c>
      <c r="EK473" t="s">
        <v>371</v>
      </c>
      <c r="EL473" t="s">
        <v>370</v>
      </c>
      <c r="EM473" t="s">
        <v>370</v>
      </c>
      <c r="EN473" t="s">
        <v>371</v>
      </c>
      <c r="EO473" t="s">
        <v>371</v>
      </c>
      <c r="EQ473" s="73">
        <v>46228</v>
      </c>
      <c r="ER473" t="s">
        <v>658</v>
      </c>
      <c r="ES473" t="s">
        <v>374</v>
      </c>
    </row>
    <row r="474" spans="1:209" ht="14.25" customHeight="1" x14ac:dyDescent="0.25">
      <c r="A474" t="s">
        <v>659</v>
      </c>
      <c r="D474" t="s">
        <v>642</v>
      </c>
      <c r="E474" s="73">
        <v>46192</v>
      </c>
      <c r="H474" t="s">
        <v>648</v>
      </c>
      <c r="I474" t="s">
        <v>403</v>
      </c>
      <c r="J474">
        <v>2006</v>
      </c>
      <c r="K474" t="s">
        <v>643</v>
      </c>
      <c r="L474" t="s">
        <v>370</v>
      </c>
      <c r="M474" t="s">
        <v>371</v>
      </c>
      <c r="N474" t="s">
        <v>371</v>
      </c>
      <c r="O474" t="s">
        <v>371</v>
      </c>
      <c r="P474" t="s">
        <v>371</v>
      </c>
      <c r="Q474" t="s">
        <v>371</v>
      </c>
      <c r="R474" t="s">
        <v>372</v>
      </c>
      <c r="S474" t="s">
        <v>372</v>
      </c>
      <c r="T474" t="s">
        <v>372</v>
      </c>
      <c r="U474" t="s">
        <v>367</v>
      </c>
      <c r="W474" t="s">
        <v>367</v>
      </c>
      <c r="X474" t="s">
        <v>373</v>
      </c>
      <c r="Y474" t="s">
        <v>367</v>
      </c>
      <c r="Z474" t="s">
        <v>374</v>
      </c>
      <c r="AB474" s="73"/>
      <c r="AQ474" s="73"/>
      <c r="BG474" t="s">
        <v>371</v>
      </c>
      <c r="BH474" t="s">
        <v>371</v>
      </c>
      <c r="BI474" t="s">
        <v>371</v>
      </c>
      <c r="BJ474" t="s">
        <v>371</v>
      </c>
      <c r="BK474" t="s">
        <v>371</v>
      </c>
      <c r="BL474" t="s">
        <v>371</v>
      </c>
      <c r="BM474" t="s">
        <v>371</v>
      </c>
      <c r="BN474" t="s">
        <v>371</v>
      </c>
      <c r="BO474" t="s">
        <v>371</v>
      </c>
      <c r="BQ474" t="s">
        <v>375</v>
      </c>
      <c r="BR474" s="73"/>
      <c r="CX474" s="73"/>
      <c r="EQ474" s="73"/>
      <c r="FT474">
        <v>0</v>
      </c>
      <c r="FZ474" t="s">
        <v>371</v>
      </c>
      <c r="GA474" t="s">
        <v>371</v>
      </c>
      <c r="GB474" t="s">
        <v>371</v>
      </c>
      <c r="GC474" t="s">
        <v>371</v>
      </c>
      <c r="GD474" t="s">
        <v>371</v>
      </c>
      <c r="GF474" t="s">
        <v>371</v>
      </c>
      <c r="GG474" t="s">
        <v>371</v>
      </c>
      <c r="GH474" t="s">
        <v>371</v>
      </c>
      <c r="GI474" t="s">
        <v>371</v>
      </c>
      <c r="GJ474" t="s">
        <v>371</v>
      </c>
      <c r="GK474" t="s">
        <v>371</v>
      </c>
      <c r="GN474" t="s">
        <v>371</v>
      </c>
      <c r="GO474" t="s">
        <v>371</v>
      </c>
      <c r="GP474" t="s">
        <v>371</v>
      </c>
      <c r="GQ474" t="s">
        <v>371</v>
      </c>
      <c r="GR474" t="s">
        <v>371</v>
      </c>
      <c r="GS474" t="s">
        <v>371</v>
      </c>
      <c r="GT474" t="s">
        <v>371</v>
      </c>
      <c r="GU474" t="s">
        <v>371</v>
      </c>
      <c r="GV474" t="s">
        <v>371</v>
      </c>
      <c r="GW474" t="s">
        <v>371</v>
      </c>
      <c r="GX474" t="s">
        <v>371</v>
      </c>
      <c r="HA474" t="s">
        <v>375</v>
      </c>
    </row>
    <row r="475" spans="1:209" ht="14.25" customHeight="1" x14ac:dyDescent="0.25">
      <c r="A475" t="s">
        <v>659</v>
      </c>
      <c r="B475" t="s">
        <v>376</v>
      </c>
      <c r="C475">
        <v>1</v>
      </c>
      <c r="D475" t="s">
        <v>642</v>
      </c>
      <c r="E475" s="73"/>
      <c r="AA475" t="s">
        <v>377</v>
      </c>
      <c r="AB475" s="73">
        <v>46192</v>
      </c>
      <c r="AD475" t="s">
        <v>644</v>
      </c>
      <c r="AF475" t="s">
        <v>379</v>
      </c>
      <c r="AI475" t="s">
        <v>645</v>
      </c>
      <c r="AJ475">
        <v>0</v>
      </c>
      <c r="AK475" t="s">
        <v>372</v>
      </c>
      <c r="AP475" t="s">
        <v>374</v>
      </c>
      <c r="AQ475" s="73"/>
      <c r="BR475" s="73"/>
      <c r="CX475" s="73"/>
      <c r="EQ475" s="73"/>
    </row>
    <row r="476" spans="1:209" ht="14.25" customHeight="1" x14ac:dyDescent="0.25">
      <c r="A476" t="s">
        <v>659</v>
      </c>
      <c r="B476" t="s">
        <v>381</v>
      </c>
      <c r="C476">
        <v>1</v>
      </c>
      <c r="D476" t="s">
        <v>642</v>
      </c>
      <c r="E476" s="73"/>
      <c r="AB476" s="73"/>
      <c r="AQ476" s="73">
        <v>46192</v>
      </c>
      <c r="AS476" t="s">
        <v>644</v>
      </c>
      <c r="AU476" t="s">
        <v>383</v>
      </c>
      <c r="AV476" t="s">
        <v>404</v>
      </c>
      <c r="AW476" t="s">
        <v>383</v>
      </c>
      <c r="AX476" t="s">
        <v>404</v>
      </c>
      <c r="AY476" t="s">
        <v>404</v>
      </c>
      <c r="AZ476" t="s">
        <v>383</v>
      </c>
      <c r="BA476" t="s">
        <v>367</v>
      </c>
      <c r="BB476" t="s">
        <v>367</v>
      </c>
      <c r="BC476">
        <v>12</v>
      </c>
      <c r="BD476" t="s">
        <v>374</v>
      </c>
      <c r="BR476" s="73"/>
      <c r="CX476" s="73"/>
      <c r="EQ476" s="73"/>
    </row>
    <row r="477" spans="1:209" ht="14.25" customHeight="1" x14ac:dyDescent="0.25">
      <c r="A477" t="s">
        <v>660</v>
      </c>
      <c r="D477" t="s">
        <v>642</v>
      </c>
      <c r="E477" s="73">
        <v>46192</v>
      </c>
      <c r="H477" t="s">
        <v>368</v>
      </c>
      <c r="I477" t="s">
        <v>403</v>
      </c>
      <c r="J477">
        <v>2006</v>
      </c>
      <c r="K477" t="s">
        <v>643</v>
      </c>
      <c r="L477" t="s">
        <v>370</v>
      </c>
      <c r="M477" t="s">
        <v>371</v>
      </c>
      <c r="N477" t="s">
        <v>371</v>
      </c>
      <c r="O477" t="s">
        <v>371</v>
      </c>
      <c r="P477" t="s">
        <v>371</v>
      </c>
      <c r="Q477" t="s">
        <v>371</v>
      </c>
      <c r="R477" t="s">
        <v>372</v>
      </c>
      <c r="S477" t="s">
        <v>372</v>
      </c>
      <c r="T477" t="s">
        <v>372</v>
      </c>
      <c r="U477" t="s">
        <v>367</v>
      </c>
      <c r="W477" t="s">
        <v>367</v>
      </c>
      <c r="X477" t="s">
        <v>373</v>
      </c>
      <c r="Y477" t="s">
        <v>367</v>
      </c>
      <c r="Z477" t="s">
        <v>374</v>
      </c>
      <c r="AB477" s="73"/>
      <c r="AQ477" s="73"/>
      <c r="BG477" t="s">
        <v>371</v>
      </c>
      <c r="BH477" t="s">
        <v>371</v>
      </c>
      <c r="BI477" t="s">
        <v>371</v>
      </c>
      <c r="BJ477" t="s">
        <v>371</v>
      </c>
      <c r="BK477" t="s">
        <v>371</v>
      </c>
      <c r="BL477" t="s">
        <v>371</v>
      </c>
      <c r="BM477" t="s">
        <v>371</v>
      </c>
      <c r="BN477" t="s">
        <v>371</v>
      </c>
      <c r="BO477" t="s">
        <v>371</v>
      </c>
      <c r="BQ477" t="s">
        <v>375</v>
      </c>
      <c r="BR477" s="73"/>
      <c r="CX477" s="73"/>
      <c r="EQ477" s="73"/>
      <c r="FT477">
        <v>0</v>
      </c>
      <c r="FZ477" t="s">
        <v>371</v>
      </c>
      <c r="GA477" t="s">
        <v>371</v>
      </c>
      <c r="GB477" t="s">
        <v>371</v>
      </c>
      <c r="GC477" t="s">
        <v>371</v>
      </c>
      <c r="GD477" t="s">
        <v>371</v>
      </c>
      <c r="GF477" t="s">
        <v>371</v>
      </c>
      <c r="GG477" t="s">
        <v>371</v>
      </c>
      <c r="GH477" t="s">
        <v>371</v>
      </c>
      <c r="GI477" t="s">
        <v>371</v>
      </c>
      <c r="GJ477" t="s">
        <v>371</v>
      </c>
      <c r="GK477" t="s">
        <v>371</v>
      </c>
      <c r="GN477" t="s">
        <v>371</v>
      </c>
      <c r="GO477" t="s">
        <v>371</v>
      </c>
      <c r="GP477" t="s">
        <v>371</v>
      </c>
      <c r="GQ477" t="s">
        <v>371</v>
      </c>
      <c r="GR477" t="s">
        <v>371</v>
      </c>
      <c r="GS477" t="s">
        <v>371</v>
      </c>
      <c r="GT477" t="s">
        <v>371</v>
      </c>
      <c r="GU477" t="s">
        <v>371</v>
      </c>
      <c r="GV477" t="s">
        <v>371</v>
      </c>
      <c r="GW477" t="s">
        <v>371</v>
      </c>
      <c r="GX477" t="s">
        <v>371</v>
      </c>
      <c r="HA477" t="s">
        <v>375</v>
      </c>
    </row>
    <row r="478" spans="1:209" ht="14.25" customHeight="1" x14ac:dyDescent="0.25">
      <c r="A478" t="s">
        <v>660</v>
      </c>
      <c r="B478" t="s">
        <v>376</v>
      </c>
      <c r="C478">
        <v>1</v>
      </c>
      <c r="D478" t="s">
        <v>642</v>
      </c>
      <c r="E478" s="73"/>
      <c r="AA478" t="s">
        <v>377</v>
      </c>
      <c r="AB478" s="73">
        <v>46192</v>
      </c>
      <c r="AD478" t="s">
        <v>644</v>
      </c>
      <c r="AF478" t="s">
        <v>379</v>
      </c>
      <c r="AI478" t="s">
        <v>645</v>
      </c>
      <c r="AJ478">
        <v>0</v>
      </c>
      <c r="AK478" t="s">
        <v>372</v>
      </c>
      <c r="AP478" t="s">
        <v>374</v>
      </c>
      <c r="AQ478" s="73"/>
      <c r="BR478" s="73"/>
      <c r="CX478" s="73"/>
      <c r="EQ478" s="73"/>
    </row>
    <row r="479" spans="1:209" ht="14.25" customHeight="1" x14ac:dyDescent="0.25">
      <c r="A479" t="s">
        <v>660</v>
      </c>
      <c r="B479" t="s">
        <v>381</v>
      </c>
      <c r="C479">
        <v>1</v>
      </c>
      <c r="D479" t="s">
        <v>642</v>
      </c>
      <c r="E479" s="73"/>
      <c r="AB479" s="73"/>
      <c r="AQ479" s="73">
        <v>46192</v>
      </c>
      <c r="AS479" t="s">
        <v>644</v>
      </c>
      <c r="AU479" t="s">
        <v>404</v>
      </c>
      <c r="AV479" t="s">
        <v>404</v>
      </c>
      <c r="AW479" t="s">
        <v>384</v>
      </c>
      <c r="AX479" t="s">
        <v>404</v>
      </c>
      <c r="AY479" t="s">
        <v>383</v>
      </c>
      <c r="AZ479" t="s">
        <v>384</v>
      </c>
      <c r="BA479" t="s">
        <v>372</v>
      </c>
      <c r="BB479" t="s">
        <v>372</v>
      </c>
      <c r="BC479">
        <v>14</v>
      </c>
      <c r="BD479" t="s">
        <v>374</v>
      </c>
      <c r="BR479" s="73"/>
      <c r="CX479" s="73"/>
      <c r="EQ479" s="73"/>
    </row>
    <row r="480" spans="1:209" ht="14.25" customHeight="1" x14ac:dyDescent="0.25">
      <c r="A480" t="s">
        <v>660</v>
      </c>
      <c r="B480" t="s">
        <v>410</v>
      </c>
      <c r="C480">
        <v>1</v>
      </c>
      <c r="D480" t="s">
        <v>642</v>
      </c>
      <c r="E480" s="73"/>
      <c r="AB480" s="73"/>
      <c r="AQ480" s="73"/>
      <c r="BR480" s="73"/>
      <c r="CX480" s="73">
        <v>46197</v>
      </c>
      <c r="CY480" t="s">
        <v>411</v>
      </c>
      <c r="CZ480" t="s">
        <v>412</v>
      </c>
      <c r="DA480" t="s">
        <v>413</v>
      </c>
      <c r="DC480" t="s">
        <v>414</v>
      </c>
      <c r="DE480" t="s">
        <v>661</v>
      </c>
      <c r="DF480" t="s">
        <v>440</v>
      </c>
      <c r="DG480" t="s">
        <v>372</v>
      </c>
      <c r="DH480" t="s">
        <v>367</v>
      </c>
      <c r="DI480" t="s">
        <v>372</v>
      </c>
      <c r="DJ480" t="s">
        <v>662</v>
      </c>
      <c r="DK480" t="s">
        <v>370</v>
      </c>
      <c r="DL480" t="s">
        <v>371</v>
      </c>
      <c r="DM480" t="s">
        <v>370</v>
      </c>
      <c r="DN480" t="s">
        <v>371</v>
      </c>
      <c r="DO480" t="s">
        <v>372</v>
      </c>
      <c r="DQ480" t="s">
        <v>371</v>
      </c>
      <c r="DR480" t="s">
        <v>371</v>
      </c>
      <c r="DS480" t="s">
        <v>371</v>
      </c>
      <c r="DT480" t="s">
        <v>371</v>
      </c>
      <c r="DU480" t="s">
        <v>371</v>
      </c>
      <c r="DV480" t="s">
        <v>371</v>
      </c>
      <c r="DW480" t="s">
        <v>371</v>
      </c>
      <c r="DX480" t="s">
        <v>371</v>
      </c>
      <c r="DY480" t="s">
        <v>371</v>
      </c>
      <c r="DZ480" t="s">
        <v>371</v>
      </c>
      <c r="EA480" t="s">
        <v>370</v>
      </c>
      <c r="EB480" t="s">
        <v>371</v>
      </c>
      <c r="EC480" t="s">
        <v>371</v>
      </c>
      <c r="ED480" t="s">
        <v>371</v>
      </c>
      <c r="EE480" t="s">
        <v>371</v>
      </c>
      <c r="EF480" t="s">
        <v>371</v>
      </c>
      <c r="EG480" t="s">
        <v>371</v>
      </c>
      <c r="EH480" t="s">
        <v>371</v>
      </c>
      <c r="EI480" t="s">
        <v>663</v>
      </c>
      <c r="EJ480" t="s">
        <v>370</v>
      </c>
      <c r="EK480" t="s">
        <v>370</v>
      </c>
      <c r="EL480" t="s">
        <v>370</v>
      </c>
      <c r="EM480" t="s">
        <v>370</v>
      </c>
      <c r="EN480" t="s">
        <v>371</v>
      </c>
      <c r="EO480" t="s">
        <v>371</v>
      </c>
      <c r="EQ480" s="73">
        <v>46227</v>
      </c>
      <c r="ER480" t="s">
        <v>664</v>
      </c>
      <c r="ES480" t="s">
        <v>374</v>
      </c>
    </row>
    <row r="481" spans="1:262" ht="14.25" customHeight="1" x14ac:dyDescent="0.25">
      <c r="A481" t="s">
        <v>665</v>
      </c>
      <c r="D481" t="s">
        <v>666</v>
      </c>
      <c r="E481" s="73">
        <v>46194</v>
      </c>
      <c r="H481" t="s">
        <v>368</v>
      </c>
      <c r="I481" t="s">
        <v>368</v>
      </c>
      <c r="J481">
        <v>1962</v>
      </c>
      <c r="K481" t="s">
        <v>369</v>
      </c>
      <c r="L481" t="s">
        <v>371</v>
      </c>
      <c r="M481" t="s">
        <v>371</v>
      </c>
      <c r="N481" t="s">
        <v>370</v>
      </c>
      <c r="O481" t="s">
        <v>371</v>
      </c>
      <c r="P481" t="s">
        <v>371</v>
      </c>
      <c r="Q481" t="s">
        <v>371</v>
      </c>
      <c r="R481" t="s">
        <v>372</v>
      </c>
      <c r="S481" t="s">
        <v>372</v>
      </c>
      <c r="T481" t="s">
        <v>372</v>
      </c>
      <c r="U481" t="s">
        <v>367</v>
      </c>
      <c r="W481" t="s">
        <v>367</v>
      </c>
      <c r="X481" t="s">
        <v>432</v>
      </c>
      <c r="Y481" t="s">
        <v>367</v>
      </c>
      <c r="Z481" t="s">
        <v>374</v>
      </c>
      <c r="AB481" s="73"/>
      <c r="AQ481" s="73"/>
      <c r="BG481" t="s">
        <v>371</v>
      </c>
      <c r="BH481" t="s">
        <v>371</v>
      </c>
      <c r="BI481" t="s">
        <v>371</v>
      </c>
      <c r="BJ481" t="s">
        <v>371</v>
      </c>
      <c r="BK481" t="s">
        <v>371</v>
      </c>
      <c r="BL481" t="s">
        <v>371</v>
      </c>
      <c r="BM481" t="s">
        <v>371</v>
      </c>
      <c r="BN481" t="s">
        <v>371</v>
      </c>
      <c r="BO481" t="s">
        <v>371</v>
      </c>
      <c r="BQ481" t="s">
        <v>375</v>
      </c>
      <c r="BR481" s="73"/>
      <c r="CX481" s="73"/>
      <c r="EQ481" s="73"/>
      <c r="FT481">
        <v>0</v>
      </c>
      <c r="FZ481" t="s">
        <v>371</v>
      </c>
      <c r="GA481" t="s">
        <v>371</v>
      </c>
      <c r="GB481" t="s">
        <v>371</v>
      </c>
      <c r="GC481" t="s">
        <v>371</v>
      </c>
      <c r="GD481" t="s">
        <v>371</v>
      </c>
      <c r="GF481" t="s">
        <v>371</v>
      </c>
      <c r="GG481" t="s">
        <v>371</v>
      </c>
      <c r="GH481" t="s">
        <v>371</v>
      </c>
      <c r="GI481" t="s">
        <v>371</v>
      </c>
      <c r="GJ481" t="s">
        <v>371</v>
      </c>
      <c r="GK481" t="s">
        <v>371</v>
      </c>
      <c r="GN481" t="s">
        <v>371</v>
      </c>
      <c r="GO481" t="s">
        <v>371</v>
      </c>
      <c r="GP481" t="s">
        <v>371</v>
      </c>
      <c r="GQ481" t="s">
        <v>371</v>
      </c>
      <c r="GR481" t="s">
        <v>371</v>
      </c>
      <c r="GS481" t="s">
        <v>371</v>
      </c>
      <c r="GT481" t="s">
        <v>371</v>
      </c>
      <c r="GU481" t="s">
        <v>371</v>
      </c>
      <c r="GV481" t="s">
        <v>371</v>
      </c>
      <c r="GW481" t="s">
        <v>371</v>
      </c>
      <c r="GX481" t="s">
        <v>371</v>
      </c>
      <c r="HA481" t="s">
        <v>375</v>
      </c>
    </row>
    <row r="482" spans="1:262" ht="14.25" customHeight="1" x14ac:dyDescent="0.25">
      <c r="A482" t="s">
        <v>665</v>
      </c>
      <c r="B482" t="s">
        <v>376</v>
      </c>
      <c r="C482">
        <v>1</v>
      </c>
      <c r="D482" t="s">
        <v>666</v>
      </c>
      <c r="E482" s="73"/>
      <c r="AA482" t="s">
        <v>377</v>
      </c>
      <c r="AB482" s="73">
        <v>46194</v>
      </c>
      <c r="AE482" t="s">
        <v>667</v>
      </c>
      <c r="AF482" t="s">
        <v>668</v>
      </c>
      <c r="AG482" t="s">
        <v>669</v>
      </c>
      <c r="AI482" t="s">
        <v>380</v>
      </c>
      <c r="AJ482">
        <v>0</v>
      </c>
      <c r="AK482" t="s">
        <v>372</v>
      </c>
      <c r="AP482" t="s">
        <v>374</v>
      </c>
      <c r="AQ482" s="73"/>
      <c r="BR482" s="73"/>
      <c r="CX482" s="73"/>
      <c r="EQ482" s="73"/>
    </row>
    <row r="483" spans="1:262" ht="14.25" customHeight="1" x14ac:dyDescent="0.25">
      <c r="A483" t="s">
        <v>665</v>
      </c>
      <c r="B483" t="s">
        <v>381</v>
      </c>
      <c r="C483">
        <v>1</v>
      </c>
      <c r="D483" t="s">
        <v>666</v>
      </c>
      <c r="E483" s="73"/>
      <c r="AB483" s="73"/>
      <c r="AQ483" s="73">
        <v>46194</v>
      </c>
      <c r="AT483" t="s">
        <v>670</v>
      </c>
      <c r="AU483" t="s">
        <v>384</v>
      </c>
      <c r="AV483" t="s">
        <v>404</v>
      </c>
      <c r="AW483" t="s">
        <v>404</v>
      </c>
      <c r="AX483" t="s">
        <v>404</v>
      </c>
      <c r="AY483" t="s">
        <v>404</v>
      </c>
      <c r="AZ483" t="s">
        <v>404</v>
      </c>
      <c r="BA483" t="s">
        <v>367</v>
      </c>
      <c r="BB483" t="s">
        <v>372</v>
      </c>
      <c r="BC483">
        <v>17</v>
      </c>
      <c r="BD483" t="s">
        <v>374</v>
      </c>
      <c r="BR483" s="73"/>
      <c r="CX483" s="73"/>
      <c r="EQ483" s="73"/>
    </row>
    <row r="484" spans="1:262" ht="14.25" customHeight="1" x14ac:dyDescent="0.25">
      <c r="A484" t="s">
        <v>665</v>
      </c>
      <c r="B484" t="s">
        <v>671</v>
      </c>
      <c r="C484">
        <v>1</v>
      </c>
      <c r="D484" t="s">
        <v>666</v>
      </c>
      <c r="E484" s="73"/>
      <c r="AB484" s="73"/>
      <c r="AQ484" s="73"/>
      <c r="BR484" s="73"/>
      <c r="CX484" s="73"/>
      <c r="EQ484" s="73"/>
      <c r="IQ484" t="s">
        <v>672</v>
      </c>
      <c r="IR484" t="s">
        <v>371</v>
      </c>
      <c r="IS484" t="s">
        <v>371</v>
      </c>
      <c r="IT484" t="s">
        <v>371</v>
      </c>
      <c r="IU484" t="s">
        <v>371</v>
      </c>
      <c r="IV484" t="s">
        <v>370</v>
      </c>
      <c r="JA484" t="s">
        <v>371</v>
      </c>
      <c r="JB484" t="s">
        <v>375</v>
      </c>
    </row>
    <row r="485" spans="1:262" ht="14.25" customHeight="1" x14ac:dyDescent="0.25">
      <c r="A485" t="s">
        <v>673</v>
      </c>
      <c r="D485" t="s">
        <v>666</v>
      </c>
      <c r="E485" s="73">
        <v>46194</v>
      </c>
      <c r="H485" t="s">
        <v>368</v>
      </c>
      <c r="I485" t="s">
        <v>368</v>
      </c>
      <c r="J485">
        <v>1957</v>
      </c>
      <c r="K485" t="s">
        <v>369</v>
      </c>
      <c r="L485" t="s">
        <v>370</v>
      </c>
      <c r="M485" t="s">
        <v>371</v>
      </c>
      <c r="N485" t="s">
        <v>371</v>
      </c>
      <c r="O485" t="s">
        <v>371</v>
      </c>
      <c r="P485" t="s">
        <v>371</v>
      </c>
      <c r="Q485" t="s">
        <v>371</v>
      </c>
      <c r="R485" t="s">
        <v>372</v>
      </c>
      <c r="S485" t="s">
        <v>372</v>
      </c>
      <c r="T485" t="s">
        <v>372</v>
      </c>
      <c r="U485" t="s">
        <v>367</v>
      </c>
      <c r="W485" t="s">
        <v>367</v>
      </c>
      <c r="X485" t="s">
        <v>373</v>
      </c>
      <c r="Y485" t="s">
        <v>367</v>
      </c>
      <c r="Z485" t="s">
        <v>374</v>
      </c>
      <c r="AB485" s="73"/>
      <c r="AQ485" s="73"/>
      <c r="BG485" t="s">
        <v>371</v>
      </c>
      <c r="BH485" t="s">
        <v>371</v>
      </c>
      <c r="BI485" t="s">
        <v>371</v>
      </c>
      <c r="BJ485" t="s">
        <v>371</v>
      </c>
      <c r="BK485" t="s">
        <v>371</v>
      </c>
      <c r="BL485" t="s">
        <v>371</v>
      </c>
      <c r="BM485" t="s">
        <v>371</v>
      </c>
      <c r="BN485" t="s">
        <v>371</v>
      </c>
      <c r="BO485" t="s">
        <v>371</v>
      </c>
      <c r="BQ485" t="s">
        <v>375</v>
      </c>
      <c r="BR485" s="73"/>
      <c r="CX485" s="73"/>
      <c r="EQ485" s="73"/>
      <c r="FT485">
        <v>0</v>
      </c>
      <c r="FZ485" t="s">
        <v>371</v>
      </c>
      <c r="GA485" t="s">
        <v>371</v>
      </c>
      <c r="GB485" t="s">
        <v>371</v>
      </c>
      <c r="GC485" t="s">
        <v>371</v>
      </c>
      <c r="GD485" t="s">
        <v>371</v>
      </c>
      <c r="GF485" t="s">
        <v>371</v>
      </c>
      <c r="GG485" t="s">
        <v>371</v>
      </c>
      <c r="GH485" t="s">
        <v>371</v>
      </c>
      <c r="GI485" t="s">
        <v>371</v>
      </c>
      <c r="GJ485" t="s">
        <v>371</v>
      </c>
      <c r="GK485" t="s">
        <v>371</v>
      </c>
      <c r="GN485" t="s">
        <v>371</v>
      </c>
      <c r="GO485" t="s">
        <v>371</v>
      </c>
      <c r="GP485" t="s">
        <v>371</v>
      </c>
      <c r="GQ485" t="s">
        <v>371</v>
      </c>
      <c r="GR485" t="s">
        <v>371</v>
      </c>
      <c r="GS485" t="s">
        <v>371</v>
      </c>
      <c r="GT485" t="s">
        <v>371</v>
      </c>
      <c r="GU485" t="s">
        <v>371</v>
      </c>
      <c r="GV485" t="s">
        <v>371</v>
      </c>
      <c r="GW485" t="s">
        <v>371</v>
      </c>
      <c r="GX485" t="s">
        <v>371</v>
      </c>
      <c r="HA485" t="s">
        <v>375</v>
      </c>
    </row>
    <row r="486" spans="1:262" ht="14.25" customHeight="1" x14ac:dyDescent="0.25">
      <c r="A486" t="s">
        <v>673</v>
      </c>
      <c r="B486" t="s">
        <v>376</v>
      </c>
      <c r="C486">
        <v>1</v>
      </c>
      <c r="D486" t="s">
        <v>666</v>
      </c>
      <c r="E486" s="73"/>
      <c r="AA486" t="s">
        <v>377</v>
      </c>
      <c r="AB486" s="73">
        <v>46194</v>
      </c>
      <c r="AE486" t="s">
        <v>667</v>
      </c>
      <c r="AF486" t="s">
        <v>668</v>
      </c>
      <c r="AG486" t="s">
        <v>669</v>
      </c>
      <c r="AI486" t="s">
        <v>380</v>
      </c>
      <c r="AJ486">
        <v>0</v>
      </c>
      <c r="AK486" t="s">
        <v>372</v>
      </c>
      <c r="AP486" t="s">
        <v>374</v>
      </c>
      <c r="AQ486" s="73"/>
      <c r="BR486" s="73"/>
      <c r="CX486" s="73"/>
      <c r="EQ486" s="73"/>
    </row>
    <row r="487" spans="1:262" ht="14.25" customHeight="1" x14ac:dyDescent="0.25">
      <c r="A487" t="s">
        <v>673</v>
      </c>
      <c r="B487" t="s">
        <v>381</v>
      </c>
      <c r="C487">
        <v>1</v>
      </c>
      <c r="D487" t="s">
        <v>666</v>
      </c>
      <c r="E487" s="73"/>
      <c r="AB487" s="73"/>
      <c r="AQ487" s="73">
        <v>46194</v>
      </c>
      <c r="AT487" t="s">
        <v>674</v>
      </c>
      <c r="AU487" t="s">
        <v>384</v>
      </c>
      <c r="AV487" t="s">
        <v>384</v>
      </c>
      <c r="AW487" t="s">
        <v>383</v>
      </c>
      <c r="AX487" t="s">
        <v>384</v>
      </c>
      <c r="AY487" t="s">
        <v>384</v>
      </c>
      <c r="AZ487" t="s">
        <v>384</v>
      </c>
      <c r="BA487" t="s">
        <v>367</v>
      </c>
      <c r="BB487" t="s">
        <v>367</v>
      </c>
      <c r="BC487">
        <v>1</v>
      </c>
      <c r="BD487" t="s">
        <v>374</v>
      </c>
      <c r="BR487" s="73"/>
      <c r="CX487" s="73"/>
      <c r="EQ487" s="73"/>
    </row>
    <row r="488" spans="1:262" ht="14.25" customHeight="1" x14ac:dyDescent="0.25">
      <c r="A488" t="s">
        <v>675</v>
      </c>
      <c r="D488" t="s">
        <v>666</v>
      </c>
      <c r="E488" s="73">
        <v>46194</v>
      </c>
      <c r="H488" t="s">
        <v>368</v>
      </c>
      <c r="I488" t="s">
        <v>368</v>
      </c>
      <c r="J488">
        <v>1980</v>
      </c>
      <c r="K488" t="s">
        <v>369</v>
      </c>
      <c r="L488" t="s">
        <v>370</v>
      </c>
      <c r="M488" t="s">
        <v>371</v>
      </c>
      <c r="N488" t="s">
        <v>371</v>
      </c>
      <c r="O488" t="s">
        <v>371</v>
      </c>
      <c r="P488" t="s">
        <v>371</v>
      </c>
      <c r="Q488" t="s">
        <v>371</v>
      </c>
      <c r="R488" t="s">
        <v>372</v>
      </c>
      <c r="S488" t="s">
        <v>372</v>
      </c>
      <c r="T488" t="s">
        <v>367</v>
      </c>
      <c r="U488" t="s">
        <v>367</v>
      </c>
      <c r="W488" t="s">
        <v>367</v>
      </c>
      <c r="X488" t="s">
        <v>399</v>
      </c>
      <c r="Y488" t="s">
        <v>396</v>
      </c>
      <c r="Z488" t="s">
        <v>374</v>
      </c>
      <c r="AB488" s="73"/>
      <c r="AQ488" s="73"/>
      <c r="BG488" t="s">
        <v>371</v>
      </c>
      <c r="BH488" t="s">
        <v>371</v>
      </c>
      <c r="BI488" t="s">
        <v>371</v>
      </c>
      <c r="BJ488" t="s">
        <v>371</v>
      </c>
      <c r="BK488" t="s">
        <v>371</v>
      </c>
      <c r="BL488" t="s">
        <v>371</v>
      </c>
      <c r="BM488" t="s">
        <v>371</v>
      </c>
      <c r="BN488" t="s">
        <v>371</v>
      </c>
      <c r="BO488" t="s">
        <v>371</v>
      </c>
      <c r="BQ488" t="s">
        <v>375</v>
      </c>
      <c r="BR488" s="73"/>
      <c r="CX488" s="73"/>
      <c r="EQ488" s="73"/>
      <c r="FT488">
        <v>0</v>
      </c>
      <c r="FZ488" t="s">
        <v>371</v>
      </c>
      <c r="GA488" t="s">
        <v>371</v>
      </c>
      <c r="GB488" t="s">
        <v>371</v>
      </c>
      <c r="GC488" t="s">
        <v>371</v>
      </c>
      <c r="GD488" t="s">
        <v>371</v>
      </c>
      <c r="GF488" t="s">
        <v>371</v>
      </c>
      <c r="GG488" t="s">
        <v>371</v>
      </c>
      <c r="GH488" t="s">
        <v>371</v>
      </c>
      <c r="GI488" t="s">
        <v>371</v>
      </c>
      <c r="GJ488" t="s">
        <v>371</v>
      </c>
      <c r="GK488" t="s">
        <v>371</v>
      </c>
      <c r="GN488" t="s">
        <v>371</v>
      </c>
      <c r="GO488" t="s">
        <v>371</v>
      </c>
      <c r="GP488" t="s">
        <v>371</v>
      </c>
      <c r="GQ488" t="s">
        <v>371</v>
      </c>
      <c r="GR488" t="s">
        <v>371</v>
      </c>
      <c r="GS488" t="s">
        <v>371</v>
      </c>
      <c r="GT488" t="s">
        <v>371</v>
      </c>
      <c r="GU488" t="s">
        <v>371</v>
      </c>
      <c r="GV488" t="s">
        <v>371</v>
      </c>
      <c r="GW488" t="s">
        <v>371</v>
      </c>
      <c r="GX488" t="s">
        <v>371</v>
      </c>
      <c r="HA488" t="s">
        <v>375</v>
      </c>
    </row>
    <row r="489" spans="1:262" ht="14.25" customHeight="1" x14ac:dyDescent="0.25">
      <c r="A489" t="s">
        <v>675</v>
      </c>
      <c r="B489" t="s">
        <v>376</v>
      </c>
      <c r="C489">
        <v>1</v>
      </c>
      <c r="D489" t="s">
        <v>666</v>
      </c>
      <c r="E489" s="73"/>
      <c r="AA489" t="s">
        <v>377</v>
      </c>
      <c r="AB489" s="73">
        <v>46194</v>
      </c>
      <c r="AE489" t="s">
        <v>667</v>
      </c>
      <c r="AF489" t="s">
        <v>668</v>
      </c>
      <c r="AG489" t="s">
        <v>669</v>
      </c>
      <c r="AI489" t="s">
        <v>380</v>
      </c>
      <c r="AJ489">
        <v>0</v>
      </c>
      <c r="AK489" t="s">
        <v>372</v>
      </c>
      <c r="AP489" t="s">
        <v>374</v>
      </c>
      <c r="AQ489" s="73"/>
      <c r="BR489" s="73"/>
      <c r="CX489" s="73"/>
      <c r="EQ489" s="73"/>
    </row>
    <row r="490" spans="1:262" ht="14.25" customHeight="1" x14ac:dyDescent="0.25">
      <c r="A490" t="s">
        <v>675</v>
      </c>
      <c r="B490" t="s">
        <v>381</v>
      </c>
      <c r="C490">
        <v>1</v>
      </c>
      <c r="D490" t="s">
        <v>666</v>
      </c>
      <c r="E490" s="73"/>
      <c r="AB490" s="73"/>
      <c r="AQ490" s="73">
        <v>46194</v>
      </c>
      <c r="AT490" t="s">
        <v>667</v>
      </c>
      <c r="AU490" t="s">
        <v>383</v>
      </c>
      <c r="AV490" t="s">
        <v>383</v>
      </c>
      <c r="AW490" t="s">
        <v>384</v>
      </c>
      <c r="AX490" t="s">
        <v>384</v>
      </c>
      <c r="AY490" t="s">
        <v>384</v>
      </c>
      <c r="AZ490" t="s">
        <v>383</v>
      </c>
      <c r="BA490" t="s">
        <v>367</v>
      </c>
      <c r="BB490" t="s">
        <v>372</v>
      </c>
      <c r="BC490">
        <v>5</v>
      </c>
      <c r="BD490" t="s">
        <v>374</v>
      </c>
      <c r="BR490" s="73"/>
      <c r="CX490" s="73"/>
      <c r="EQ490" s="73"/>
    </row>
    <row r="491" spans="1:262" ht="14.25" customHeight="1" x14ac:dyDescent="0.25">
      <c r="A491" t="s">
        <v>676</v>
      </c>
      <c r="D491" t="s">
        <v>666</v>
      </c>
      <c r="E491" s="73">
        <v>46194</v>
      </c>
      <c r="H491" t="s">
        <v>368</v>
      </c>
      <c r="I491" t="s">
        <v>368</v>
      </c>
      <c r="J491">
        <v>1960</v>
      </c>
      <c r="K491" t="s">
        <v>369</v>
      </c>
      <c r="L491" t="s">
        <v>370</v>
      </c>
      <c r="M491" t="s">
        <v>371</v>
      </c>
      <c r="N491" t="s">
        <v>371</v>
      </c>
      <c r="O491" t="s">
        <v>371</v>
      </c>
      <c r="P491" t="s">
        <v>371</v>
      </c>
      <c r="Q491" t="s">
        <v>371</v>
      </c>
      <c r="R491" t="s">
        <v>372</v>
      </c>
      <c r="S491" t="s">
        <v>372</v>
      </c>
      <c r="T491" t="s">
        <v>372</v>
      </c>
      <c r="U491" t="s">
        <v>367</v>
      </c>
      <c r="W491" t="s">
        <v>367</v>
      </c>
      <c r="X491" t="s">
        <v>399</v>
      </c>
      <c r="Y491" t="s">
        <v>421</v>
      </c>
      <c r="Z491" t="s">
        <v>374</v>
      </c>
      <c r="AB491" s="73"/>
      <c r="AQ491" s="73"/>
      <c r="BG491" t="s">
        <v>371</v>
      </c>
      <c r="BH491" t="s">
        <v>371</v>
      </c>
      <c r="BI491" t="s">
        <v>371</v>
      </c>
      <c r="BJ491" t="s">
        <v>371</v>
      </c>
      <c r="BK491" t="s">
        <v>371</v>
      </c>
      <c r="BL491" t="s">
        <v>371</v>
      </c>
      <c r="BM491" t="s">
        <v>371</v>
      </c>
      <c r="BN491" t="s">
        <v>371</v>
      </c>
      <c r="BO491" t="s">
        <v>371</v>
      </c>
      <c r="BQ491" t="s">
        <v>375</v>
      </c>
      <c r="BR491" s="73"/>
      <c r="CX491" s="73"/>
      <c r="EQ491" s="73"/>
      <c r="FT491">
        <v>0</v>
      </c>
      <c r="FZ491" t="s">
        <v>371</v>
      </c>
      <c r="GA491" t="s">
        <v>371</v>
      </c>
      <c r="GB491" t="s">
        <v>371</v>
      </c>
      <c r="GC491" t="s">
        <v>371</v>
      </c>
      <c r="GD491" t="s">
        <v>371</v>
      </c>
      <c r="GF491" t="s">
        <v>371</v>
      </c>
      <c r="GG491" t="s">
        <v>371</v>
      </c>
      <c r="GH491" t="s">
        <v>371</v>
      </c>
      <c r="GI491" t="s">
        <v>371</v>
      </c>
      <c r="GJ491" t="s">
        <v>371</v>
      </c>
      <c r="GK491" t="s">
        <v>371</v>
      </c>
      <c r="GN491" t="s">
        <v>371</v>
      </c>
      <c r="GO491" t="s">
        <v>371</v>
      </c>
      <c r="GP491" t="s">
        <v>371</v>
      </c>
      <c r="GQ491" t="s">
        <v>371</v>
      </c>
      <c r="GR491" t="s">
        <v>371</v>
      </c>
      <c r="GS491" t="s">
        <v>371</v>
      </c>
      <c r="GT491" t="s">
        <v>371</v>
      </c>
      <c r="GU491" t="s">
        <v>371</v>
      </c>
      <c r="GV491" t="s">
        <v>371</v>
      </c>
      <c r="GW491" t="s">
        <v>371</v>
      </c>
      <c r="GX491" t="s">
        <v>371</v>
      </c>
      <c r="HA491" t="s">
        <v>375</v>
      </c>
    </row>
    <row r="492" spans="1:262" ht="14.25" customHeight="1" x14ac:dyDescent="0.25">
      <c r="A492" t="s">
        <v>676</v>
      </c>
      <c r="B492" t="s">
        <v>376</v>
      </c>
      <c r="C492">
        <v>1</v>
      </c>
      <c r="D492" t="s">
        <v>666</v>
      </c>
      <c r="E492" s="73"/>
      <c r="AA492" t="s">
        <v>377</v>
      </c>
      <c r="AB492" s="73">
        <v>46194</v>
      </c>
      <c r="AE492" t="s">
        <v>667</v>
      </c>
      <c r="AF492" t="s">
        <v>668</v>
      </c>
      <c r="AG492" t="s">
        <v>669</v>
      </c>
      <c r="AI492" t="s">
        <v>380</v>
      </c>
      <c r="AJ492">
        <v>0</v>
      </c>
      <c r="AK492" t="s">
        <v>372</v>
      </c>
      <c r="AP492" t="s">
        <v>374</v>
      </c>
      <c r="AQ492" s="73"/>
      <c r="BR492" s="73"/>
      <c r="CX492" s="73"/>
      <c r="EQ492" s="73"/>
    </row>
    <row r="493" spans="1:262" ht="14.25" customHeight="1" x14ac:dyDescent="0.25">
      <c r="A493" t="s">
        <v>676</v>
      </c>
      <c r="B493" t="s">
        <v>381</v>
      </c>
      <c r="C493">
        <v>1</v>
      </c>
      <c r="D493" t="s">
        <v>666</v>
      </c>
      <c r="E493" s="73"/>
      <c r="AB493" s="73"/>
      <c r="AQ493" s="73">
        <v>46194</v>
      </c>
      <c r="AT493" t="s">
        <v>677</v>
      </c>
      <c r="AU493" t="s">
        <v>384</v>
      </c>
      <c r="AV493" t="s">
        <v>384</v>
      </c>
      <c r="AW493" t="s">
        <v>384</v>
      </c>
      <c r="AX493" t="s">
        <v>384</v>
      </c>
      <c r="AY493" t="s">
        <v>384</v>
      </c>
      <c r="AZ493" t="s">
        <v>383</v>
      </c>
      <c r="BA493" t="s">
        <v>367</v>
      </c>
      <c r="BB493" t="s">
        <v>367</v>
      </c>
      <c r="BC493">
        <v>1</v>
      </c>
      <c r="BD493" t="s">
        <v>374</v>
      </c>
      <c r="BR493" s="73"/>
      <c r="CX493" s="73"/>
      <c r="EQ493" s="73"/>
    </row>
    <row r="494" spans="1:262" ht="14.25" customHeight="1" x14ac:dyDescent="0.25">
      <c r="A494" t="s">
        <v>678</v>
      </c>
      <c r="D494" t="s">
        <v>666</v>
      </c>
      <c r="E494" s="73">
        <v>46194</v>
      </c>
      <c r="H494" t="s">
        <v>368</v>
      </c>
      <c r="I494" t="s">
        <v>368</v>
      </c>
      <c r="J494">
        <v>1975</v>
      </c>
      <c r="K494" t="s">
        <v>369</v>
      </c>
      <c r="L494" t="s">
        <v>370</v>
      </c>
      <c r="M494" t="s">
        <v>371</v>
      </c>
      <c r="N494" t="s">
        <v>371</v>
      </c>
      <c r="O494" t="s">
        <v>371</v>
      </c>
      <c r="P494" t="s">
        <v>371</v>
      </c>
      <c r="Q494" t="s">
        <v>371</v>
      </c>
      <c r="R494" t="s">
        <v>372</v>
      </c>
      <c r="S494" t="s">
        <v>372</v>
      </c>
      <c r="T494" t="s">
        <v>372</v>
      </c>
      <c r="U494" t="s">
        <v>367</v>
      </c>
      <c r="W494" t="s">
        <v>367</v>
      </c>
      <c r="X494" t="s">
        <v>399</v>
      </c>
      <c r="Y494" t="s">
        <v>396</v>
      </c>
      <c r="Z494" t="s">
        <v>374</v>
      </c>
      <c r="AB494" s="73"/>
      <c r="AQ494" s="73"/>
      <c r="BG494" t="s">
        <v>371</v>
      </c>
      <c r="BH494" t="s">
        <v>371</v>
      </c>
      <c r="BI494" t="s">
        <v>371</v>
      </c>
      <c r="BJ494" t="s">
        <v>371</v>
      </c>
      <c r="BK494" t="s">
        <v>371</v>
      </c>
      <c r="BL494" t="s">
        <v>371</v>
      </c>
      <c r="BM494" t="s">
        <v>371</v>
      </c>
      <c r="BN494" t="s">
        <v>371</v>
      </c>
      <c r="BO494" t="s">
        <v>371</v>
      </c>
      <c r="BQ494" t="s">
        <v>375</v>
      </c>
      <c r="BR494" s="73"/>
      <c r="CX494" s="73"/>
      <c r="EQ494" s="73"/>
      <c r="FT494">
        <v>0</v>
      </c>
      <c r="FZ494" t="s">
        <v>371</v>
      </c>
      <c r="GA494" t="s">
        <v>371</v>
      </c>
      <c r="GB494" t="s">
        <v>371</v>
      </c>
      <c r="GC494" t="s">
        <v>371</v>
      </c>
      <c r="GD494" t="s">
        <v>371</v>
      </c>
      <c r="GF494" t="s">
        <v>371</v>
      </c>
      <c r="GG494" t="s">
        <v>371</v>
      </c>
      <c r="GH494" t="s">
        <v>371</v>
      </c>
      <c r="GI494" t="s">
        <v>371</v>
      </c>
      <c r="GJ494" t="s">
        <v>371</v>
      </c>
      <c r="GK494" t="s">
        <v>371</v>
      </c>
      <c r="GN494" t="s">
        <v>371</v>
      </c>
      <c r="GO494" t="s">
        <v>371</v>
      </c>
      <c r="GP494" t="s">
        <v>371</v>
      </c>
      <c r="GQ494" t="s">
        <v>371</v>
      </c>
      <c r="GR494" t="s">
        <v>371</v>
      </c>
      <c r="GS494" t="s">
        <v>371</v>
      </c>
      <c r="GT494" t="s">
        <v>371</v>
      </c>
      <c r="GU494" t="s">
        <v>371</v>
      </c>
      <c r="GV494" t="s">
        <v>371</v>
      </c>
      <c r="GW494" t="s">
        <v>371</v>
      </c>
      <c r="GX494" t="s">
        <v>371</v>
      </c>
      <c r="HA494" t="s">
        <v>375</v>
      </c>
    </row>
    <row r="495" spans="1:262" ht="14.25" customHeight="1" x14ac:dyDescent="0.25">
      <c r="A495" t="s">
        <v>678</v>
      </c>
      <c r="B495" t="s">
        <v>376</v>
      </c>
      <c r="C495">
        <v>1</v>
      </c>
      <c r="D495" t="s">
        <v>666</v>
      </c>
      <c r="E495" s="73"/>
      <c r="AA495" t="s">
        <v>377</v>
      </c>
      <c r="AB495" s="73">
        <v>46194</v>
      </c>
      <c r="AE495" t="s">
        <v>667</v>
      </c>
      <c r="AF495" t="s">
        <v>668</v>
      </c>
      <c r="AG495" t="s">
        <v>669</v>
      </c>
      <c r="AI495" t="s">
        <v>380</v>
      </c>
      <c r="AJ495">
        <v>0</v>
      </c>
      <c r="AK495" t="s">
        <v>372</v>
      </c>
      <c r="AP495" t="s">
        <v>374</v>
      </c>
      <c r="AQ495" s="73"/>
      <c r="BR495" s="73"/>
      <c r="CX495" s="73"/>
      <c r="EQ495" s="73"/>
    </row>
    <row r="496" spans="1:262" ht="14.25" customHeight="1" x14ac:dyDescent="0.25">
      <c r="A496" t="s">
        <v>678</v>
      </c>
      <c r="B496" t="s">
        <v>381</v>
      </c>
      <c r="C496">
        <v>1</v>
      </c>
      <c r="D496" t="s">
        <v>666</v>
      </c>
      <c r="E496" s="73"/>
      <c r="AB496" s="73"/>
      <c r="AQ496" s="73">
        <v>46194</v>
      </c>
      <c r="AT496" t="s">
        <v>670</v>
      </c>
      <c r="AU496" t="s">
        <v>384</v>
      </c>
      <c r="AV496" t="s">
        <v>384</v>
      </c>
      <c r="AW496" t="s">
        <v>383</v>
      </c>
      <c r="AX496" t="s">
        <v>384</v>
      </c>
      <c r="AY496" t="s">
        <v>384</v>
      </c>
      <c r="AZ496" t="s">
        <v>384</v>
      </c>
      <c r="BA496" t="s">
        <v>367</v>
      </c>
      <c r="BB496" t="s">
        <v>367</v>
      </c>
      <c r="BC496">
        <v>1</v>
      </c>
      <c r="BD496" t="s">
        <v>374</v>
      </c>
      <c r="BR496" s="73"/>
      <c r="CX496" s="73"/>
      <c r="EQ496" s="73"/>
    </row>
    <row r="497" spans="1:209" ht="14.25" customHeight="1" x14ac:dyDescent="0.25">
      <c r="A497" t="s">
        <v>679</v>
      </c>
      <c r="D497" t="s">
        <v>666</v>
      </c>
      <c r="E497" s="73">
        <v>46194</v>
      </c>
      <c r="H497" t="s">
        <v>368</v>
      </c>
      <c r="I497" t="s">
        <v>368</v>
      </c>
      <c r="J497">
        <v>1989</v>
      </c>
      <c r="K497" t="s">
        <v>369</v>
      </c>
      <c r="L497" t="s">
        <v>370</v>
      </c>
      <c r="M497" t="s">
        <v>371</v>
      </c>
      <c r="N497" t="s">
        <v>371</v>
      </c>
      <c r="O497" t="s">
        <v>371</v>
      </c>
      <c r="P497" t="s">
        <v>371</v>
      </c>
      <c r="Q497" t="s">
        <v>371</v>
      </c>
      <c r="R497" t="s">
        <v>372</v>
      </c>
      <c r="S497" t="s">
        <v>372</v>
      </c>
      <c r="T497" t="s">
        <v>372</v>
      </c>
      <c r="U497" t="s">
        <v>367</v>
      </c>
      <c r="W497" t="s">
        <v>367</v>
      </c>
      <c r="X497" t="s">
        <v>399</v>
      </c>
      <c r="Y497" t="s">
        <v>421</v>
      </c>
      <c r="Z497" t="s">
        <v>374</v>
      </c>
      <c r="AB497" s="73"/>
      <c r="AQ497" s="73"/>
      <c r="BG497" t="s">
        <v>371</v>
      </c>
      <c r="BH497" t="s">
        <v>371</v>
      </c>
      <c r="BI497" t="s">
        <v>371</v>
      </c>
      <c r="BJ497" t="s">
        <v>371</v>
      </c>
      <c r="BK497" t="s">
        <v>371</v>
      </c>
      <c r="BL497" t="s">
        <v>371</v>
      </c>
      <c r="BM497" t="s">
        <v>371</v>
      </c>
      <c r="BN497" t="s">
        <v>371</v>
      </c>
      <c r="BO497" t="s">
        <v>371</v>
      </c>
      <c r="BQ497" t="s">
        <v>375</v>
      </c>
      <c r="BR497" s="73"/>
      <c r="CX497" s="73"/>
      <c r="EQ497" s="73"/>
      <c r="FT497">
        <v>0</v>
      </c>
      <c r="FZ497" t="s">
        <v>371</v>
      </c>
      <c r="GA497" t="s">
        <v>371</v>
      </c>
      <c r="GB497" t="s">
        <v>371</v>
      </c>
      <c r="GC497" t="s">
        <v>371</v>
      </c>
      <c r="GD497" t="s">
        <v>371</v>
      </c>
      <c r="GF497" t="s">
        <v>371</v>
      </c>
      <c r="GG497" t="s">
        <v>371</v>
      </c>
      <c r="GH497" t="s">
        <v>371</v>
      </c>
      <c r="GI497" t="s">
        <v>371</v>
      </c>
      <c r="GJ497" t="s">
        <v>371</v>
      </c>
      <c r="GK497" t="s">
        <v>371</v>
      </c>
      <c r="GN497" t="s">
        <v>371</v>
      </c>
      <c r="GO497" t="s">
        <v>371</v>
      </c>
      <c r="GP497" t="s">
        <v>371</v>
      </c>
      <c r="GQ497" t="s">
        <v>371</v>
      </c>
      <c r="GR497" t="s">
        <v>371</v>
      </c>
      <c r="GS497" t="s">
        <v>371</v>
      </c>
      <c r="GT497" t="s">
        <v>371</v>
      </c>
      <c r="GU497" t="s">
        <v>371</v>
      </c>
      <c r="GV497" t="s">
        <v>371</v>
      </c>
      <c r="GW497" t="s">
        <v>371</v>
      </c>
      <c r="GX497" t="s">
        <v>371</v>
      </c>
      <c r="HA497" t="s">
        <v>375</v>
      </c>
    </row>
    <row r="498" spans="1:209" ht="14.25" customHeight="1" x14ac:dyDescent="0.25">
      <c r="A498" t="s">
        <v>679</v>
      </c>
      <c r="B498" t="s">
        <v>376</v>
      </c>
      <c r="C498">
        <v>1</v>
      </c>
      <c r="D498" t="s">
        <v>666</v>
      </c>
      <c r="E498" s="73"/>
      <c r="AA498" t="s">
        <v>377</v>
      </c>
      <c r="AB498" s="73">
        <v>46194</v>
      </c>
      <c r="AE498" t="s">
        <v>667</v>
      </c>
      <c r="AF498" t="s">
        <v>668</v>
      </c>
      <c r="AG498" t="s">
        <v>669</v>
      </c>
      <c r="AI498" t="s">
        <v>380</v>
      </c>
      <c r="AJ498">
        <v>0</v>
      </c>
      <c r="AK498" t="s">
        <v>372</v>
      </c>
      <c r="AP498" t="s">
        <v>374</v>
      </c>
      <c r="AQ498" s="73"/>
      <c r="BR498" s="73"/>
      <c r="CX498" s="73"/>
      <c r="EQ498" s="73"/>
    </row>
    <row r="499" spans="1:209" ht="14.25" customHeight="1" x14ac:dyDescent="0.25">
      <c r="A499" t="s">
        <v>679</v>
      </c>
      <c r="B499" t="s">
        <v>381</v>
      </c>
      <c r="C499">
        <v>1</v>
      </c>
      <c r="D499" t="s">
        <v>666</v>
      </c>
      <c r="E499" s="73"/>
      <c r="AB499" s="73"/>
      <c r="AQ499" s="73">
        <v>46194</v>
      </c>
      <c r="AT499" t="s">
        <v>680</v>
      </c>
      <c r="AU499" t="s">
        <v>384</v>
      </c>
      <c r="AV499" t="s">
        <v>383</v>
      </c>
      <c r="AW499" t="s">
        <v>384</v>
      </c>
      <c r="AX499" t="s">
        <v>404</v>
      </c>
      <c r="AY499" t="s">
        <v>383</v>
      </c>
      <c r="AZ499" t="s">
        <v>384</v>
      </c>
      <c r="BA499" t="s">
        <v>367</v>
      </c>
      <c r="BB499" t="s">
        <v>367</v>
      </c>
      <c r="BC499">
        <v>5</v>
      </c>
      <c r="BD499" t="s">
        <v>374</v>
      </c>
      <c r="BR499" s="73"/>
      <c r="CX499" s="73"/>
      <c r="EQ499" s="73"/>
    </row>
    <row r="500" spans="1:209" ht="14.25" customHeight="1" x14ac:dyDescent="0.25">
      <c r="A500" t="s">
        <v>681</v>
      </c>
      <c r="D500" t="s">
        <v>666</v>
      </c>
      <c r="E500" s="73">
        <v>46194</v>
      </c>
      <c r="H500" t="s">
        <v>368</v>
      </c>
      <c r="I500" t="s">
        <v>368</v>
      </c>
      <c r="J500">
        <v>1972</v>
      </c>
      <c r="K500" t="s">
        <v>369</v>
      </c>
      <c r="L500" t="s">
        <v>370</v>
      </c>
      <c r="M500" t="s">
        <v>371</v>
      </c>
      <c r="N500" t="s">
        <v>371</v>
      </c>
      <c r="O500" t="s">
        <v>371</v>
      </c>
      <c r="P500" t="s">
        <v>371</v>
      </c>
      <c r="Q500" t="s">
        <v>371</v>
      </c>
      <c r="R500" t="s">
        <v>372</v>
      </c>
      <c r="S500" t="s">
        <v>372</v>
      </c>
      <c r="T500" t="s">
        <v>372</v>
      </c>
      <c r="U500" t="s">
        <v>367</v>
      </c>
      <c r="W500" t="s">
        <v>367</v>
      </c>
      <c r="X500" t="s">
        <v>373</v>
      </c>
      <c r="Y500" t="s">
        <v>367</v>
      </c>
      <c r="Z500" t="s">
        <v>374</v>
      </c>
      <c r="AB500" s="73"/>
      <c r="AQ500" s="73"/>
      <c r="BG500" t="s">
        <v>371</v>
      </c>
      <c r="BH500" t="s">
        <v>371</v>
      </c>
      <c r="BI500" t="s">
        <v>371</v>
      </c>
      <c r="BJ500" t="s">
        <v>371</v>
      </c>
      <c r="BK500" t="s">
        <v>371</v>
      </c>
      <c r="BL500" t="s">
        <v>371</v>
      </c>
      <c r="BM500" t="s">
        <v>371</v>
      </c>
      <c r="BN500" t="s">
        <v>371</v>
      </c>
      <c r="BO500" t="s">
        <v>371</v>
      </c>
      <c r="BQ500" t="s">
        <v>375</v>
      </c>
      <c r="BR500" s="73"/>
      <c r="CX500" s="73"/>
      <c r="EQ500" s="73"/>
      <c r="FT500">
        <v>0</v>
      </c>
      <c r="FZ500" t="s">
        <v>371</v>
      </c>
      <c r="GA500" t="s">
        <v>371</v>
      </c>
      <c r="GB500" t="s">
        <v>371</v>
      </c>
      <c r="GC500" t="s">
        <v>371</v>
      </c>
      <c r="GD500" t="s">
        <v>371</v>
      </c>
      <c r="GF500" t="s">
        <v>371</v>
      </c>
      <c r="GG500" t="s">
        <v>371</v>
      </c>
      <c r="GH500" t="s">
        <v>371</v>
      </c>
      <c r="GI500" t="s">
        <v>371</v>
      </c>
      <c r="GJ500" t="s">
        <v>371</v>
      </c>
      <c r="GK500" t="s">
        <v>371</v>
      </c>
      <c r="GN500" t="s">
        <v>371</v>
      </c>
      <c r="GO500" t="s">
        <v>371</v>
      </c>
      <c r="GP500" t="s">
        <v>371</v>
      </c>
      <c r="GQ500" t="s">
        <v>371</v>
      </c>
      <c r="GR500" t="s">
        <v>371</v>
      </c>
      <c r="GS500" t="s">
        <v>371</v>
      </c>
      <c r="GT500" t="s">
        <v>371</v>
      </c>
      <c r="GU500" t="s">
        <v>371</v>
      </c>
      <c r="GV500" t="s">
        <v>371</v>
      </c>
      <c r="GW500" t="s">
        <v>371</v>
      </c>
      <c r="GX500" t="s">
        <v>371</v>
      </c>
      <c r="HA500" t="s">
        <v>375</v>
      </c>
    </row>
    <row r="501" spans="1:209" ht="14.25" customHeight="1" x14ac:dyDescent="0.25">
      <c r="A501" t="s">
        <v>681</v>
      </c>
      <c r="B501" t="s">
        <v>376</v>
      </c>
      <c r="C501">
        <v>1</v>
      </c>
      <c r="D501" t="s">
        <v>666</v>
      </c>
      <c r="E501" s="73"/>
      <c r="AA501" t="s">
        <v>377</v>
      </c>
      <c r="AB501" s="73">
        <v>46194</v>
      </c>
      <c r="AE501" t="s">
        <v>667</v>
      </c>
      <c r="AF501" t="s">
        <v>668</v>
      </c>
      <c r="AG501" t="s">
        <v>669</v>
      </c>
      <c r="AI501" t="s">
        <v>380</v>
      </c>
      <c r="AJ501">
        <v>0</v>
      </c>
      <c r="AK501" t="s">
        <v>372</v>
      </c>
      <c r="AP501" t="s">
        <v>374</v>
      </c>
      <c r="AQ501" s="73"/>
      <c r="BR501" s="73"/>
      <c r="CX501" s="73"/>
      <c r="EQ501" s="73"/>
    </row>
    <row r="502" spans="1:209" ht="14.25" customHeight="1" x14ac:dyDescent="0.25">
      <c r="A502" t="s">
        <v>681</v>
      </c>
      <c r="B502" t="s">
        <v>381</v>
      </c>
      <c r="C502">
        <v>1</v>
      </c>
      <c r="D502" t="s">
        <v>666</v>
      </c>
      <c r="E502" s="73"/>
      <c r="AB502" s="73"/>
      <c r="AQ502" s="73">
        <v>46194</v>
      </c>
      <c r="AT502" t="s">
        <v>674</v>
      </c>
      <c r="AU502" t="s">
        <v>384</v>
      </c>
      <c r="AV502" t="s">
        <v>384</v>
      </c>
      <c r="AW502" t="s">
        <v>384</v>
      </c>
      <c r="AX502" t="s">
        <v>384</v>
      </c>
      <c r="AY502" t="s">
        <v>384</v>
      </c>
      <c r="AZ502" t="s">
        <v>384</v>
      </c>
      <c r="BA502" t="s">
        <v>367</v>
      </c>
      <c r="BB502" t="s">
        <v>367</v>
      </c>
      <c r="BC502">
        <v>0</v>
      </c>
      <c r="BD502" t="s">
        <v>374</v>
      </c>
      <c r="BR502" s="73"/>
      <c r="CX502" s="73"/>
      <c r="EQ502" s="73"/>
    </row>
    <row r="503" spans="1:209" ht="14.25" customHeight="1" x14ac:dyDescent="0.25">
      <c r="A503" t="s">
        <v>682</v>
      </c>
      <c r="D503" t="s">
        <v>666</v>
      </c>
      <c r="E503" s="73">
        <v>46194</v>
      </c>
      <c r="H503" t="s">
        <v>368</v>
      </c>
      <c r="I503" t="s">
        <v>368</v>
      </c>
      <c r="J503">
        <v>1960</v>
      </c>
      <c r="K503" t="s">
        <v>369</v>
      </c>
      <c r="L503" t="s">
        <v>370</v>
      </c>
      <c r="M503" t="s">
        <v>371</v>
      </c>
      <c r="N503" t="s">
        <v>371</v>
      </c>
      <c r="O503" t="s">
        <v>371</v>
      </c>
      <c r="P503" t="s">
        <v>371</v>
      </c>
      <c r="Q503" t="s">
        <v>371</v>
      </c>
      <c r="R503" t="s">
        <v>372</v>
      </c>
      <c r="S503" t="s">
        <v>372</v>
      </c>
      <c r="T503" t="s">
        <v>372</v>
      </c>
      <c r="U503" t="s">
        <v>367</v>
      </c>
      <c r="W503" t="s">
        <v>367</v>
      </c>
      <c r="X503" t="s">
        <v>494</v>
      </c>
      <c r="Y503" t="s">
        <v>396</v>
      </c>
      <c r="Z503" t="s">
        <v>374</v>
      </c>
      <c r="AB503" s="73"/>
      <c r="AQ503" s="73"/>
      <c r="BG503" t="s">
        <v>371</v>
      </c>
      <c r="BH503" t="s">
        <v>371</v>
      </c>
      <c r="BI503" t="s">
        <v>371</v>
      </c>
      <c r="BJ503" t="s">
        <v>371</v>
      </c>
      <c r="BK503" t="s">
        <v>371</v>
      </c>
      <c r="BL503" t="s">
        <v>371</v>
      </c>
      <c r="BM503" t="s">
        <v>371</v>
      </c>
      <c r="BN503" t="s">
        <v>371</v>
      </c>
      <c r="BO503" t="s">
        <v>371</v>
      </c>
      <c r="BQ503" t="s">
        <v>375</v>
      </c>
      <c r="BR503" s="73"/>
      <c r="CX503" s="73"/>
      <c r="EQ503" s="73"/>
      <c r="FT503">
        <v>0</v>
      </c>
      <c r="FZ503" t="s">
        <v>371</v>
      </c>
      <c r="GA503" t="s">
        <v>371</v>
      </c>
      <c r="GB503" t="s">
        <v>371</v>
      </c>
      <c r="GC503" t="s">
        <v>371</v>
      </c>
      <c r="GD503" t="s">
        <v>371</v>
      </c>
      <c r="GF503" t="s">
        <v>371</v>
      </c>
      <c r="GG503" t="s">
        <v>371</v>
      </c>
      <c r="GH503" t="s">
        <v>371</v>
      </c>
      <c r="GI503" t="s">
        <v>371</v>
      </c>
      <c r="GJ503" t="s">
        <v>371</v>
      </c>
      <c r="GK503" t="s">
        <v>371</v>
      </c>
      <c r="GN503" t="s">
        <v>371</v>
      </c>
      <c r="GO503" t="s">
        <v>371</v>
      </c>
      <c r="GP503" t="s">
        <v>371</v>
      </c>
      <c r="GQ503" t="s">
        <v>371</v>
      </c>
      <c r="GR503" t="s">
        <v>371</v>
      </c>
      <c r="GS503" t="s">
        <v>371</v>
      </c>
      <c r="GT503" t="s">
        <v>371</v>
      </c>
      <c r="GU503" t="s">
        <v>371</v>
      </c>
      <c r="GV503" t="s">
        <v>371</v>
      </c>
      <c r="GW503" t="s">
        <v>371</v>
      </c>
      <c r="GX503" t="s">
        <v>371</v>
      </c>
      <c r="HA503" t="s">
        <v>375</v>
      </c>
    </row>
    <row r="504" spans="1:209" ht="14.25" customHeight="1" x14ac:dyDescent="0.25">
      <c r="A504" t="s">
        <v>682</v>
      </c>
      <c r="B504" t="s">
        <v>376</v>
      </c>
      <c r="C504">
        <v>1</v>
      </c>
      <c r="D504" t="s">
        <v>666</v>
      </c>
      <c r="E504" s="73"/>
      <c r="AA504" t="s">
        <v>377</v>
      </c>
      <c r="AB504" s="73">
        <v>46194</v>
      </c>
      <c r="AE504" t="s">
        <v>667</v>
      </c>
      <c r="AF504" t="s">
        <v>668</v>
      </c>
      <c r="AG504" t="s">
        <v>669</v>
      </c>
      <c r="AI504" t="s">
        <v>380</v>
      </c>
      <c r="AJ504">
        <v>0</v>
      </c>
      <c r="AK504" t="s">
        <v>372</v>
      </c>
      <c r="AP504" t="s">
        <v>374</v>
      </c>
      <c r="AQ504" s="73"/>
      <c r="BR504" s="73"/>
      <c r="CX504" s="73"/>
      <c r="EQ504" s="73"/>
    </row>
    <row r="505" spans="1:209" ht="14.25" customHeight="1" x14ac:dyDescent="0.25">
      <c r="A505" t="s">
        <v>682</v>
      </c>
      <c r="B505" t="s">
        <v>381</v>
      </c>
      <c r="C505">
        <v>1</v>
      </c>
      <c r="D505" t="s">
        <v>666</v>
      </c>
      <c r="E505" s="73"/>
      <c r="AB505" s="73"/>
      <c r="AQ505" s="73">
        <v>46194</v>
      </c>
      <c r="AT505" t="s">
        <v>680</v>
      </c>
      <c r="AU505" t="s">
        <v>383</v>
      </c>
      <c r="AV505" t="s">
        <v>383</v>
      </c>
      <c r="AW505" t="s">
        <v>384</v>
      </c>
      <c r="AX505" t="s">
        <v>385</v>
      </c>
      <c r="AY505" t="s">
        <v>383</v>
      </c>
      <c r="AZ505" t="s">
        <v>384</v>
      </c>
      <c r="BA505" t="s">
        <v>372</v>
      </c>
      <c r="BB505" t="s">
        <v>372</v>
      </c>
      <c r="BC505">
        <v>9</v>
      </c>
      <c r="BD505" t="s">
        <v>374</v>
      </c>
      <c r="BR505" s="73"/>
      <c r="CX505" s="73"/>
      <c r="EQ505" s="73"/>
    </row>
    <row r="506" spans="1:209" ht="14.25" customHeight="1" x14ac:dyDescent="0.25">
      <c r="A506" t="s">
        <v>683</v>
      </c>
      <c r="D506" t="s">
        <v>666</v>
      </c>
      <c r="E506" s="73">
        <v>46194</v>
      </c>
      <c r="H506" t="s">
        <v>368</v>
      </c>
      <c r="I506" t="s">
        <v>368</v>
      </c>
      <c r="J506">
        <v>1980</v>
      </c>
      <c r="K506" t="s">
        <v>369</v>
      </c>
      <c r="L506" t="s">
        <v>370</v>
      </c>
      <c r="M506" t="s">
        <v>371</v>
      </c>
      <c r="N506" t="s">
        <v>371</v>
      </c>
      <c r="O506" t="s">
        <v>371</v>
      </c>
      <c r="P506" t="s">
        <v>371</v>
      </c>
      <c r="Q506" t="s">
        <v>371</v>
      </c>
      <c r="R506" t="s">
        <v>372</v>
      </c>
      <c r="S506" t="s">
        <v>372</v>
      </c>
      <c r="T506" t="s">
        <v>367</v>
      </c>
      <c r="U506" t="s">
        <v>367</v>
      </c>
      <c r="W506" t="s">
        <v>367</v>
      </c>
      <c r="X506" t="s">
        <v>432</v>
      </c>
      <c r="Y506" t="s">
        <v>421</v>
      </c>
      <c r="Z506" t="s">
        <v>374</v>
      </c>
      <c r="AB506" s="73"/>
      <c r="AQ506" s="73"/>
      <c r="BG506" t="s">
        <v>371</v>
      </c>
      <c r="BH506" t="s">
        <v>371</v>
      </c>
      <c r="BI506" t="s">
        <v>371</v>
      </c>
      <c r="BJ506" t="s">
        <v>371</v>
      </c>
      <c r="BK506" t="s">
        <v>371</v>
      </c>
      <c r="BL506" t="s">
        <v>371</v>
      </c>
      <c r="BM506" t="s">
        <v>371</v>
      </c>
      <c r="BN506" t="s">
        <v>371</v>
      </c>
      <c r="BO506" t="s">
        <v>371</v>
      </c>
      <c r="BQ506" t="s">
        <v>375</v>
      </c>
      <c r="BR506" s="73"/>
      <c r="CX506" s="73"/>
      <c r="EQ506" s="73"/>
      <c r="FT506">
        <v>0</v>
      </c>
      <c r="FZ506" t="s">
        <v>371</v>
      </c>
      <c r="GA506" t="s">
        <v>371</v>
      </c>
      <c r="GB506" t="s">
        <v>371</v>
      </c>
      <c r="GC506" t="s">
        <v>371</v>
      </c>
      <c r="GD506" t="s">
        <v>371</v>
      </c>
      <c r="GF506" t="s">
        <v>371</v>
      </c>
      <c r="GG506" t="s">
        <v>371</v>
      </c>
      <c r="GH506" t="s">
        <v>371</v>
      </c>
      <c r="GI506" t="s">
        <v>371</v>
      </c>
      <c r="GJ506" t="s">
        <v>371</v>
      </c>
      <c r="GK506" t="s">
        <v>371</v>
      </c>
      <c r="GN506" t="s">
        <v>371</v>
      </c>
      <c r="GO506" t="s">
        <v>371</v>
      </c>
      <c r="GP506" t="s">
        <v>371</v>
      </c>
      <c r="GQ506" t="s">
        <v>371</v>
      </c>
      <c r="GR506" t="s">
        <v>371</v>
      </c>
      <c r="GS506" t="s">
        <v>371</v>
      </c>
      <c r="GT506" t="s">
        <v>371</v>
      </c>
      <c r="GU506" t="s">
        <v>371</v>
      </c>
      <c r="GV506" t="s">
        <v>371</v>
      </c>
      <c r="GW506" t="s">
        <v>371</v>
      </c>
      <c r="GX506" t="s">
        <v>371</v>
      </c>
      <c r="HA506" t="s">
        <v>375</v>
      </c>
    </row>
    <row r="507" spans="1:209" ht="14.25" customHeight="1" x14ac:dyDescent="0.25">
      <c r="A507" t="s">
        <v>683</v>
      </c>
      <c r="B507" t="s">
        <v>376</v>
      </c>
      <c r="C507">
        <v>1</v>
      </c>
      <c r="D507" t="s">
        <v>666</v>
      </c>
      <c r="E507" s="73"/>
      <c r="AA507" t="s">
        <v>377</v>
      </c>
      <c r="AB507" s="73">
        <v>46194</v>
      </c>
      <c r="AE507" t="s">
        <v>684</v>
      </c>
      <c r="AF507" t="s">
        <v>668</v>
      </c>
      <c r="AG507" t="s">
        <v>685</v>
      </c>
      <c r="AI507" t="s">
        <v>400</v>
      </c>
      <c r="AJ507">
        <v>1</v>
      </c>
      <c r="AK507" t="s">
        <v>372</v>
      </c>
      <c r="AP507" t="s">
        <v>374</v>
      </c>
      <c r="AQ507" s="73"/>
      <c r="BR507" s="73"/>
      <c r="CX507" s="73"/>
      <c r="EQ507" s="73"/>
    </row>
    <row r="508" spans="1:209" ht="14.25" customHeight="1" x14ac:dyDescent="0.25">
      <c r="A508" t="s">
        <v>683</v>
      </c>
      <c r="B508" t="s">
        <v>381</v>
      </c>
      <c r="C508">
        <v>1</v>
      </c>
      <c r="D508" t="s">
        <v>666</v>
      </c>
      <c r="E508" s="73"/>
      <c r="AB508" s="73"/>
      <c r="AQ508" s="73">
        <v>46194</v>
      </c>
      <c r="AT508" t="s">
        <v>680</v>
      </c>
      <c r="AU508" t="s">
        <v>384</v>
      </c>
      <c r="AV508" t="s">
        <v>384</v>
      </c>
      <c r="AW508" t="s">
        <v>384</v>
      </c>
      <c r="AX508" t="s">
        <v>384</v>
      </c>
      <c r="AY508" t="s">
        <v>384</v>
      </c>
      <c r="AZ508" t="s">
        <v>384</v>
      </c>
      <c r="BA508" t="s">
        <v>367</v>
      </c>
      <c r="BB508" t="s">
        <v>367</v>
      </c>
      <c r="BC508">
        <v>0</v>
      </c>
      <c r="BD508" t="s">
        <v>374</v>
      </c>
      <c r="BR508" s="73"/>
      <c r="CX508" s="73"/>
      <c r="EQ508" s="73"/>
    </row>
    <row r="509" spans="1:209" ht="14.25" customHeight="1" x14ac:dyDescent="0.25">
      <c r="A509" t="s">
        <v>686</v>
      </c>
      <c r="D509" t="s">
        <v>666</v>
      </c>
      <c r="E509" s="73">
        <v>46194</v>
      </c>
      <c r="H509" t="s">
        <v>368</v>
      </c>
      <c r="I509" t="s">
        <v>368</v>
      </c>
      <c r="J509">
        <v>1972</v>
      </c>
      <c r="K509" t="s">
        <v>369</v>
      </c>
      <c r="L509" t="s">
        <v>370</v>
      </c>
      <c r="M509" t="s">
        <v>371</v>
      </c>
      <c r="N509" t="s">
        <v>371</v>
      </c>
      <c r="O509" t="s">
        <v>371</v>
      </c>
      <c r="P509" t="s">
        <v>371</v>
      </c>
      <c r="Q509" t="s">
        <v>371</v>
      </c>
      <c r="R509" t="s">
        <v>372</v>
      </c>
      <c r="S509" t="s">
        <v>372</v>
      </c>
      <c r="T509" t="s">
        <v>372</v>
      </c>
      <c r="U509" t="s">
        <v>367</v>
      </c>
      <c r="W509" t="s">
        <v>367</v>
      </c>
      <c r="X509" t="s">
        <v>399</v>
      </c>
      <c r="Y509" t="s">
        <v>421</v>
      </c>
      <c r="Z509" t="s">
        <v>374</v>
      </c>
      <c r="AB509" s="73"/>
      <c r="AQ509" s="73"/>
      <c r="BG509" t="s">
        <v>371</v>
      </c>
      <c r="BH509" t="s">
        <v>371</v>
      </c>
      <c r="BI509" t="s">
        <v>371</v>
      </c>
      <c r="BJ509" t="s">
        <v>371</v>
      </c>
      <c r="BK509" t="s">
        <v>371</v>
      </c>
      <c r="BL509" t="s">
        <v>371</v>
      </c>
      <c r="BM509" t="s">
        <v>371</v>
      </c>
      <c r="BN509" t="s">
        <v>371</v>
      </c>
      <c r="BO509" t="s">
        <v>371</v>
      </c>
      <c r="BQ509" t="s">
        <v>375</v>
      </c>
      <c r="BR509" s="73"/>
      <c r="CX509" s="73"/>
      <c r="EQ509" s="73"/>
      <c r="FT509">
        <v>0</v>
      </c>
      <c r="FZ509" t="s">
        <v>371</v>
      </c>
      <c r="GA509" t="s">
        <v>371</v>
      </c>
      <c r="GB509" t="s">
        <v>371</v>
      </c>
      <c r="GC509" t="s">
        <v>371</v>
      </c>
      <c r="GD509" t="s">
        <v>371</v>
      </c>
      <c r="GF509" t="s">
        <v>371</v>
      </c>
      <c r="GG509" t="s">
        <v>371</v>
      </c>
      <c r="GH509" t="s">
        <v>371</v>
      </c>
      <c r="GI509" t="s">
        <v>371</v>
      </c>
      <c r="GJ509" t="s">
        <v>371</v>
      </c>
      <c r="GK509" t="s">
        <v>371</v>
      </c>
      <c r="GN509" t="s">
        <v>371</v>
      </c>
      <c r="GO509" t="s">
        <v>371</v>
      </c>
      <c r="GP509" t="s">
        <v>371</v>
      </c>
      <c r="GQ509" t="s">
        <v>371</v>
      </c>
      <c r="GR509" t="s">
        <v>371</v>
      </c>
      <c r="GS509" t="s">
        <v>371</v>
      </c>
      <c r="GT509" t="s">
        <v>371</v>
      </c>
      <c r="GU509" t="s">
        <v>371</v>
      </c>
      <c r="GV509" t="s">
        <v>371</v>
      </c>
      <c r="GW509" t="s">
        <v>371</v>
      </c>
      <c r="GX509" t="s">
        <v>371</v>
      </c>
      <c r="HA509" t="s">
        <v>375</v>
      </c>
    </row>
    <row r="510" spans="1:209" ht="14.25" customHeight="1" x14ac:dyDescent="0.25">
      <c r="A510" t="s">
        <v>686</v>
      </c>
      <c r="B510" t="s">
        <v>376</v>
      </c>
      <c r="C510">
        <v>1</v>
      </c>
      <c r="D510" t="s">
        <v>666</v>
      </c>
      <c r="E510" s="73"/>
      <c r="AA510" t="s">
        <v>377</v>
      </c>
      <c r="AB510" s="73">
        <v>46194</v>
      </c>
      <c r="AE510" t="s">
        <v>684</v>
      </c>
      <c r="AF510" t="s">
        <v>668</v>
      </c>
      <c r="AG510" t="s">
        <v>687</v>
      </c>
      <c r="AI510" t="s">
        <v>688</v>
      </c>
      <c r="AJ510">
        <v>1</v>
      </c>
      <c r="AK510" t="s">
        <v>372</v>
      </c>
      <c r="AP510" t="s">
        <v>374</v>
      </c>
      <c r="AQ510" s="73"/>
      <c r="BR510" s="73"/>
      <c r="CX510" s="73"/>
      <c r="EQ510" s="73"/>
    </row>
    <row r="511" spans="1:209" ht="14.25" customHeight="1" x14ac:dyDescent="0.25">
      <c r="A511" t="s">
        <v>686</v>
      </c>
      <c r="B511" t="s">
        <v>381</v>
      </c>
      <c r="C511">
        <v>1</v>
      </c>
      <c r="D511" t="s">
        <v>666</v>
      </c>
      <c r="E511" s="73"/>
      <c r="AB511" s="73"/>
      <c r="AQ511" s="73">
        <v>46194</v>
      </c>
      <c r="AT511" t="s">
        <v>670</v>
      </c>
      <c r="AU511" t="s">
        <v>384</v>
      </c>
      <c r="AV511" t="s">
        <v>384</v>
      </c>
      <c r="AW511" t="s">
        <v>384</v>
      </c>
      <c r="AX511" t="s">
        <v>404</v>
      </c>
      <c r="AY511" t="s">
        <v>384</v>
      </c>
      <c r="AZ511" t="s">
        <v>384</v>
      </c>
      <c r="BA511" t="s">
        <v>367</v>
      </c>
      <c r="BB511" t="s">
        <v>372</v>
      </c>
      <c r="BC511">
        <v>5</v>
      </c>
      <c r="BD511" t="s">
        <v>374</v>
      </c>
      <c r="BR511" s="73"/>
      <c r="CX511" s="73"/>
      <c r="EQ511" s="73"/>
    </row>
    <row r="512" spans="1:209" ht="14.25" customHeight="1" x14ac:dyDescent="0.25">
      <c r="A512" t="s">
        <v>689</v>
      </c>
      <c r="D512" t="s">
        <v>666</v>
      </c>
      <c r="E512" s="73">
        <v>46194</v>
      </c>
      <c r="H512" t="s">
        <v>368</v>
      </c>
      <c r="I512" t="s">
        <v>368</v>
      </c>
      <c r="J512">
        <v>1992</v>
      </c>
      <c r="K512" t="s">
        <v>369</v>
      </c>
      <c r="L512" t="s">
        <v>370</v>
      </c>
      <c r="M512" t="s">
        <v>371</v>
      </c>
      <c r="N512" t="s">
        <v>371</v>
      </c>
      <c r="O512" t="s">
        <v>371</v>
      </c>
      <c r="P512" t="s">
        <v>371</v>
      </c>
      <c r="Q512" t="s">
        <v>371</v>
      </c>
      <c r="R512" t="s">
        <v>372</v>
      </c>
      <c r="S512" t="s">
        <v>372</v>
      </c>
      <c r="T512" t="s">
        <v>367</v>
      </c>
      <c r="U512" t="s">
        <v>367</v>
      </c>
      <c r="W512" t="s">
        <v>367</v>
      </c>
      <c r="X512" t="s">
        <v>432</v>
      </c>
      <c r="Y512" t="s">
        <v>396</v>
      </c>
      <c r="Z512" t="s">
        <v>374</v>
      </c>
      <c r="AB512" s="73"/>
      <c r="AQ512" s="73"/>
      <c r="BG512" t="s">
        <v>371</v>
      </c>
      <c r="BH512" t="s">
        <v>371</v>
      </c>
      <c r="BI512" t="s">
        <v>371</v>
      </c>
      <c r="BJ512" t="s">
        <v>371</v>
      </c>
      <c r="BK512" t="s">
        <v>371</v>
      </c>
      <c r="BL512" t="s">
        <v>371</v>
      </c>
      <c r="BM512" t="s">
        <v>371</v>
      </c>
      <c r="BN512" t="s">
        <v>371</v>
      </c>
      <c r="BO512" t="s">
        <v>371</v>
      </c>
      <c r="BQ512" t="s">
        <v>375</v>
      </c>
      <c r="BR512" s="73"/>
      <c r="CX512" s="73"/>
      <c r="EQ512" s="73"/>
      <c r="FT512">
        <v>0</v>
      </c>
      <c r="FZ512" t="s">
        <v>371</v>
      </c>
      <c r="GA512" t="s">
        <v>371</v>
      </c>
      <c r="GB512" t="s">
        <v>371</v>
      </c>
      <c r="GC512" t="s">
        <v>371</v>
      </c>
      <c r="GD512" t="s">
        <v>371</v>
      </c>
      <c r="GF512" t="s">
        <v>371</v>
      </c>
      <c r="GG512" t="s">
        <v>371</v>
      </c>
      <c r="GH512" t="s">
        <v>371</v>
      </c>
      <c r="GI512" t="s">
        <v>371</v>
      </c>
      <c r="GJ512" t="s">
        <v>371</v>
      </c>
      <c r="GK512" t="s">
        <v>371</v>
      </c>
      <c r="GN512" t="s">
        <v>371</v>
      </c>
      <c r="GO512" t="s">
        <v>371</v>
      </c>
      <c r="GP512" t="s">
        <v>371</v>
      </c>
      <c r="GQ512" t="s">
        <v>371</v>
      </c>
      <c r="GR512" t="s">
        <v>371</v>
      </c>
      <c r="GS512" t="s">
        <v>371</v>
      </c>
      <c r="GT512" t="s">
        <v>371</v>
      </c>
      <c r="GU512" t="s">
        <v>371</v>
      </c>
      <c r="GV512" t="s">
        <v>371</v>
      </c>
      <c r="GW512" t="s">
        <v>371</v>
      </c>
      <c r="GX512" t="s">
        <v>371</v>
      </c>
      <c r="HA512" t="s">
        <v>375</v>
      </c>
    </row>
    <row r="513" spans="1:209" ht="14.25" customHeight="1" x14ac:dyDescent="0.25">
      <c r="A513" t="s">
        <v>689</v>
      </c>
      <c r="B513" t="s">
        <v>376</v>
      </c>
      <c r="C513">
        <v>1</v>
      </c>
      <c r="D513" t="s">
        <v>666</v>
      </c>
      <c r="E513" s="73"/>
      <c r="AA513" t="s">
        <v>377</v>
      </c>
      <c r="AB513" s="73">
        <v>46194</v>
      </c>
      <c r="AE513" t="s">
        <v>684</v>
      </c>
      <c r="AF513" t="s">
        <v>668</v>
      </c>
      <c r="AG513" t="s">
        <v>687</v>
      </c>
      <c r="AI513" t="s">
        <v>688</v>
      </c>
      <c r="AJ513">
        <v>1</v>
      </c>
      <c r="AK513" t="s">
        <v>372</v>
      </c>
      <c r="AP513" t="s">
        <v>374</v>
      </c>
      <c r="AQ513" s="73"/>
      <c r="BR513" s="73"/>
      <c r="CX513" s="73"/>
      <c r="EQ513" s="73"/>
    </row>
    <row r="514" spans="1:209" ht="14.25" customHeight="1" x14ac:dyDescent="0.25">
      <c r="A514" t="s">
        <v>689</v>
      </c>
      <c r="B514" t="s">
        <v>381</v>
      </c>
      <c r="C514">
        <v>1</v>
      </c>
      <c r="D514" t="s">
        <v>666</v>
      </c>
      <c r="E514" s="73"/>
      <c r="AB514" s="73"/>
      <c r="AQ514" s="73">
        <v>46194</v>
      </c>
      <c r="AT514" t="s">
        <v>667</v>
      </c>
      <c r="AU514" t="s">
        <v>384</v>
      </c>
      <c r="AV514" t="s">
        <v>384</v>
      </c>
      <c r="AW514" t="s">
        <v>384</v>
      </c>
      <c r="AX514" t="s">
        <v>384</v>
      </c>
      <c r="AY514" t="s">
        <v>384</v>
      </c>
      <c r="AZ514" t="s">
        <v>384</v>
      </c>
      <c r="BA514" t="s">
        <v>367</v>
      </c>
      <c r="BB514" t="s">
        <v>367</v>
      </c>
      <c r="BC514">
        <v>0</v>
      </c>
      <c r="BD514" t="s">
        <v>374</v>
      </c>
      <c r="BR514" s="73"/>
      <c r="CX514" s="73"/>
      <c r="EQ514" s="73"/>
    </row>
    <row r="515" spans="1:209" ht="14.25" customHeight="1" x14ac:dyDescent="0.25">
      <c r="A515" t="s">
        <v>690</v>
      </c>
      <c r="D515" t="s">
        <v>666</v>
      </c>
      <c r="E515" s="73">
        <v>46194</v>
      </c>
      <c r="H515" t="s">
        <v>368</v>
      </c>
      <c r="I515" t="s">
        <v>368</v>
      </c>
      <c r="J515">
        <v>1990</v>
      </c>
      <c r="K515" t="s">
        <v>369</v>
      </c>
      <c r="L515" t="s">
        <v>370</v>
      </c>
      <c r="M515" t="s">
        <v>371</v>
      </c>
      <c r="N515" t="s">
        <v>371</v>
      </c>
      <c r="O515" t="s">
        <v>371</v>
      </c>
      <c r="P515" t="s">
        <v>371</v>
      </c>
      <c r="Q515" t="s">
        <v>371</v>
      </c>
      <c r="R515" t="s">
        <v>372</v>
      </c>
      <c r="S515" t="s">
        <v>372</v>
      </c>
      <c r="T515" t="s">
        <v>367</v>
      </c>
      <c r="U515" t="s">
        <v>367</v>
      </c>
      <c r="W515" t="s">
        <v>367</v>
      </c>
      <c r="X515" t="s">
        <v>373</v>
      </c>
      <c r="Y515" t="s">
        <v>367</v>
      </c>
      <c r="Z515" t="s">
        <v>374</v>
      </c>
      <c r="AB515" s="73"/>
      <c r="AQ515" s="73"/>
      <c r="BG515" t="s">
        <v>371</v>
      </c>
      <c r="BH515" t="s">
        <v>371</v>
      </c>
      <c r="BI515" t="s">
        <v>371</v>
      </c>
      <c r="BJ515" t="s">
        <v>371</v>
      </c>
      <c r="BK515" t="s">
        <v>371</v>
      </c>
      <c r="BL515" t="s">
        <v>371</v>
      </c>
      <c r="BM515" t="s">
        <v>371</v>
      </c>
      <c r="BN515" t="s">
        <v>371</v>
      </c>
      <c r="BO515" t="s">
        <v>371</v>
      </c>
      <c r="BQ515" t="s">
        <v>375</v>
      </c>
      <c r="BR515" s="73"/>
      <c r="CX515" s="73"/>
      <c r="EQ515" s="73"/>
      <c r="FT515">
        <v>0</v>
      </c>
      <c r="FZ515" t="s">
        <v>371</v>
      </c>
      <c r="GA515" t="s">
        <v>371</v>
      </c>
      <c r="GB515" t="s">
        <v>371</v>
      </c>
      <c r="GC515" t="s">
        <v>371</v>
      </c>
      <c r="GD515" t="s">
        <v>371</v>
      </c>
      <c r="GF515" t="s">
        <v>371</v>
      </c>
      <c r="GG515" t="s">
        <v>371</v>
      </c>
      <c r="GH515" t="s">
        <v>371</v>
      </c>
      <c r="GI515" t="s">
        <v>371</v>
      </c>
      <c r="GJ515" t="s">
        <v>371</v>
      </c>
      <c r="GK515" t="s">
        <v>371</v>
      </c>
      <c r="GN515" t="s">
        <v>371</v>
      </c>
      <c r="GO515" t="s">
        <v>371</v>
      </c>
      <c r="GP515" t="s">
        <v>371</v>
      </c>
      <c r="GQ515" t="s">
        <v>371</v>
      </c>
      <c r="GR515" t="s">
        <v>371</v>
      </c>
      <c r="GS515" t="s">
        <v>371</v>
      </c>
      <c r="GT515" t="s">
        <v>371</v>
      </c>
      <c r="GU515" t="s">
        <v>371</v>
      </c>
      <c r="GV515" t="s">
        <v>371</v>
      </c>
      <c r="GW515" t="s">
        <v>371</v>
      </c>
      <c r="GX515" t="s">
        <v>371</v>
      </c>
      <c r="HA515" t="s">
        <v>375</v>
      </c>
    </row>
    <row r="516" spans="1:209" ht="14.25" customHeight="1" x14ac:dyDescent="0.25">
      <c r="A516" t="s">
        <v>690</v>
      </c>
      <c r="B516" t="s">
        <v>376</v>
      </c>
      <c r="C516">
        <v>1</v>
      </c>
      <c r="D516" t="s">
        <v>666</v>
      </c>
      <c r="E516" s="73"/>
      <c r="AA516" t="s">
        <v>377</v>
      </c>
      <c r="AB516" s="73">
        <v>46194</v>
      </c>
      <c r="AE516" t="s">
        <v>684</v>
      </c>
      <c r="AF516" t="s">
        <v>668</v>
      </c>
      <c r="AG516" t="s">
        <v>687</v>
      </c>
      <c r="AI516" t="s">
        <v>400</v>
      </c>
      <c r="AJ516">
        <v>1</v>
      </c>
      <c r="AK516" t="s">
        <v>372</v>
      </c>
      <c r="AP516" t="s">
        <v>374</v>
      </c>
      <c r="AQ516" s="73"/>
      <c r="BR516" s="73"/>
      <c r="CX516" s="73"/>
      <c r="EQ516" s="73"/>
    </row>
    <row r="517" spans="1:209" ht="14.25" customHeight="1" x14ac:dyDescent="0.25">
      <c r="A517" t="s">
        <v>690</v>
      </c>
      <c r="B517" t="s">
        <v>381</v>
      </c>
      <c r="C517">
        <v>1</v>
      </c>
      <c r="D517" t="s">
        <v>666</v>
      </c>
      <c r="E517" s="73"/>
      <c r="AB517" s="73"/>
      <c r="AQ517" s="73">
        <v>46194</v>
      </c>
      <c r="AT517" t="s">
        <v>680</v>
      </c>
      <c r="AU517" t="s">
        <v>384</v>
      </c>
      <c r="AV517" t="s">
        <v>384</v>
      </c>
      <c r="AW517" t="s">
        <v>384</v>
      </c>
      <c r="AX517" t="s">
        <v>385</v>
      </c>
      <c r="AY517" t="s">
        <v>384</v>
      </c>
      <c r="AZ517" t="s">
        <v>384</v>
      </c>
      <c r="BA517" t="s">
        <v>367</v>
      </c>
      <c r="BB517" t="s">
        <v>367</v>
      </c>
      <c r="BC517">
        <v>2</v>
      </c>
      <c r="BD517" t="s">
        <v>374</v>
      </c>
      <c r="BR517" s="73"/>
      <c r="CX517" s="73"/>
      <c r="EQ517" s="73"/>
    </row>
    <row r="518" spans="1:209" ht="14.25" customHeight="1" x14ac:dyDescent="0.25">
      <c r="A518" t="s">
        <v>691</v>
      </c>
      <c r="D518" t="s">
        <v>666</v>
      </c>
      <c r="E518" s="73">
        <v>46194</v>
      </c>
      <c r="H518" t="s">
        <v>368</v>
      </c>
      <c r="I518" t="s">
        <v>368</v>
      </c>
      <c r="J518">
        <v>1987</v>
      </c>
      <c r="K518" t="s">
        <v>369</v>
      </c>
      <c r="L518" t="s">
        <v>370</v>
      </c>
      <c r="M518" t="s">
        <v>371</v>
      </c>
      <c r="N518" t="s">
        <v>371</v>
      </c>
      <c r="O518" t="s">
        <v>371</v>
      </c>
      <c r="P518" t="s">
        <v>371</v>
      </c>
      <c r="Q518" t="s">
        <v>371</v>
      </c>
      <c r="R518" t="s">
        <v>372</v>
      </c>
      <c r="S518" t="s">
        <v>372</v>
      </c>
      <c r="T518" t="s">
        <v>367</v>
      </c>
      <c r="U518" t="s">
        <v>367</v>
      </c>
      <c r="W518" t="s">
        <v>367</v>
      </c>
      <c r="X518" t="s">
        <v>399</v>
      </c>
      <c r="Y518" t="s">
        <v>421</v>
      </c>
      <c r="Z518" t="s">
        <v>374</v>
      </c>
      <c r="AB518" s="73"/>
      <c r="AQ518" s="73"/>
      <c r="BG518" t="s">
        <v>371</v>
      </c>
      <c r="BH518" t="s">
        <v>371</v>
      </c>
      <c r="BI518" t="s">
        <v>371</v>
      </c>
      <c r="BJ518" t="s">
        <v>371</v>
      </c>
      <c r="BK518" t="s">
        <v>371</v>
      </c>
      <c r="BL518" t="s">
        <v>371</v>
      </c>
      <c r="BM518" t="s">
        <v>371</v>
      </c>
      <c r="BN518" t="s">
        <v>371</v>
      </c>
      <c r="BO518" t="s">
        <v>371</v>
      </c>
      <c r="BQ518" t="s">
        <v>375</v>
      </c>
      <c r="BR518" s="73"/>
      <c r="CX518" s="73"/>
      <c r="EQ518" s="73"/>
      <c r="FT518">
        <v>0</v>
      </c>
      <c r="FZ518" t="s">
        <v>371</v>
      </c>
      <c r="GA518" t="s">
        <v>371</v>
      </c>
      <c r="GB518" t="s">
        <v>371</v>
      </c>
      <c r="GC518" t="s">
        <v>371</v>
      </c>
      <c r="GD518" t="s">
        <v>371</v>
      </c>
      <c r="GF518" t="s">
        <v>371</v>
      </c>
      <c r="GG518" t="s">
        <v>371</v>
      </c>
      <c r="GH518" t="s">
        <v>371</v>
      </c>
      <c r="GI518" t="s">
        <v>371</v>
      </c>
      <c r="GJ518" t="s">
        <v>371</v>
      </c>
      <c r="GK518" t="s">
        <v>371</v>
      </c>
      <c r="GN518" t="s">
        <v>371</v>
      </c>
      <c r="GO518" t="s">
        <v>371</v>
      </c>
      <c r="GP518" t="s">
        <v>371</v>
      </c>
      <c r="GQ518" t="s">
        <v>371</v>
      </c>
      <c r="GR518" t="s">
        <v>371</v>
      </c>
      <c r="GS518" t="s">
        <v>371</v>
      </c>
      <c r="GT518" t="s">
        <v>371</v>
      </c>
      <c r="GU518" t="s">
        <v>371</v>
      </c>
      <c r="GV518" t="s">
        <v>371</v>
      </c>
      <c r="GW518" t="s">
        <v>371</v>
      </c>
      <c r="GX518" t="s">
        <v>371</v>
      </c>
      <c r="HA518" t="s">
        <v>375</v>
      </c>
    </row>
    <row r="519" spans="1:209" ht="14.25" customHeight="1" x14ac:dyDescent="0.25">
      <c r="A519" t="s">
        <v>691</v>
      </c>
      <c r="B519" t="s">
        <v>376</v>
      </c>
      <c r="C519">
        <v>1</v>
      </c>
      <c r="D519" t="s">
        <v>666</v>
      </c>
      <c r="E519" s="73"/>
      <c r="AA519" t="s">
        <v>377</v>
      </c>
      <c r="AB519" s="73">
        <v>46194</v>
      </c>
      <c r="AE519" t="s">
        <v>684</v>
      </c>
      <c r="AF519" t="s">
        <v>668</v>
      </c>
      <c r="AG519" t="s">
        <v>687</v>
      </c>
      <c r="AI519" t="s">
        <v>688</v>
      </c>
      <c r="AJ519">
        <v>1</v>
      </c>
      <c r="AK519" t="s">
        <v>372</v>
      </c>
      <c r="AP519" t="s">
        <v>374</v>
      </c>
      <c r="AQ519" s="73"/>
      <c r="BR519" s="73"/>
      <c r="CX519" s="73"/>
      <c r="EQ519" s="73"/>
    </row>
    <row r="520" spans="1:209" ht="14.25" customHeight="1" x14ac:dyDescent="0.25">
      <c r="A520" t="s">
        <v>691</v>
      </c>
      <c r="B520" t="s">
        <v>381</v>
      </c>
      <c r="C520">
        <v>1</v>
      </c>
      <c r="D520" t="s">
        <v>666</v>
      </c>
      <c r="E520" s="73"/>
      <c r="AB520" s="73"/>
      <c r="AQ520" s="73">
        <v>46194</v>
      </c>
      <c r="AT520" t="s">
        <v>674</v>
      </c>
      <c r="AU520" t="s">
        <v>384</v>
      </c>
      <c r="AV520" t="s">
        <v>384</v>
      </c>
      <c r="AW520" t="s">
        <v>384</v>
      </c>
      <c r="AX520" t="s">
        <v>383</v>
      </c>
      <c r="AY520" t="s">
        <v>384</v>
      </c>
      <c r="AZ520" t="s">
        <v>383</v>
      </c>
      <c r="BA520" t="s">
        <v>367</v>
      </c>
      <c r="BB520" t="s">
        <v>367</v>
      </c>
      <c r="BC520">
        <v>2</v>
      </c>
      <c r="BD520" t="s">
        <v>374</v>
      </c>
      <c r="BR520" s="73"/>
      <c r="CX520" s="73"/>
      <c r="EQ520" s="73"/>
    </row>
    <row r="521" spans="1:209" ht="14.25" customHeight="1" x14ac:dyDescent="0.25">
      <c r="A521" t="s">
        <v>692</v>
      </c>
      <c r="D521" t="s">
        <v>666</v>
      </c>
      <c r="E521" s="73">
        <v>46194</v>
      </c>
      <c r="H521" t="s">
        <v>368</v>
      </c>
      <c r="I521" t="s">
        <v>368</v>
      </c>
      <c r="J521">
        <v>1990</v>
      </c>
      <c r="K521" t="s">
        <v>369</v>
      </c>
      <c r="L521" t="s">
        <v>370</v>
      </c>
      <c r="M521" t="s">
        <v>371</v>
      </c>
      <c r="N521" t="s">
        <v>371</v>
      </c>
      <c r="O521" t="s">
        <v>371</v>
      </c>
      <c r="P521" t="s">
        <v>371</v>
      </c>
      <c r="Q521" t="s">
        <v>371</v>
      </c>
      <c r="R521" t="s">
        <v>372</v>
      </c>
      <c r="S521" t="s">
        <v>372</v>
      </c>
      <c r="T521" t="s">
        <v>372</v>
      </c>
      <c r="U521" t="s">
        <v>367</v>
      </c>
      <c r="W521" t="s">
        <v>367</v>
      </c>
      <c r="X521" t="s">
        <v>399</v>
      </c>
      <c r="Y521" t="s">
        <v>421</v>
      </c>
      <c r="Z521" t="s">
        <v>374</v>
      </c>
      <c r="AB521" s="73"/>
      <c r="AQ521" s="73"/>
      <c r="BG521" t="s">
        <v>371</v>
      </c>
      <c r="BH521" t="s">
        <v>371</v>
      </c>
      <c r="BI521" t="s">
        <v>371</v>
      </c>
      <c r="BJ521" t="s">
        <v>371</v>
      </c>
      <c r="BK521" t="s">
        <v>371</v>
      </c>
      <c r="BL521" t="s">
        <v>371</v>
      </c>
      <c r="BM521" t="s">
        <v>371</v>
      </c>
      <c r="BN521" t="s">
        <v>371</v>
      </c>
      <c r="BO521" t="s">
        <v>371</v>
      </c>
      <c r="BQ521" t="s">
        <v>375</v>
      </c>
      <c r="BR521" s="73"/>
      <c r="CX521" s="73"/>
      <c r="EQ521" s="73"/>
      <c r="FT521">
        <v>0</v>
      </c>
      <c r="FZ521" t="s">
        <v>371</v>
      </c>
      <c r="GA521" t="s">
        <v>371</v>
      </c>
      <c r="GB521" t="s">
        <v>371</v>
      </c>
      <c r="GC521" t="s">
        <v>371</v>
      </c>
      <c r="GD521" t="s">
        <v>371</v>
      </c>
      <c r="GF521" t="s">
        <v>371</v>
      </c>
      <c r="GG521" t="s">
        <v>371</v>
      </c>
      <c r="GH521" t="s">
        <v>371</v>
      </c>
      <c r="GI521" t="s">
        <v>371</v>
      </c>
      <c r="GJ521" t="s">
        <v>371</v>
      </c>
      <c r="GK521" t="s">
        <v>371</v>
      </c>
      <c r="GN521" t="s">
        <v>371</v>
      </c>
      <c r="GO521" t="s">
        <v>371</v>
      </c>
      <c r="GP521" t="s">
        <v>371</v>
      </c>
      <c r="GQ521" t="s">
        <v>371</v>
      </c>
      <c r="GR521" t="s">
        <v>371</v>
      </c>
      <c r="GS521" t="s">
        <v>371</v>
      </c>
      <c r="GT521" t="s">
        <v>371</v>
      </c>
      <c r="GU521" t="s">
        <v>371</v>
      </c>
      <c r="GV521" t="s">
        <v>371</v>
      </c>
      <c r="GW521" t="s">
        <v>371</v>
      </c>
      <c r="GX521" t="s">
        <v>371</v>
      </c>
      <c r="HA521" t="s">
        <v>375</v>
      </c>
    </row>
    <row r="522" spans="1:209" ht="14.25" customHeight="1" x14ac:dyDescent="0.25">
      <c r="A522" t="s">
        <v>692</v>
      </c>
      <c r="B522" t="s">
        <v>376</v>
      </c>
      <c r="C522">
        <v>1</v>
      </c>
      <c r="D522" t="s">
        <v>666</v>
      </c>
      <c r="E522" s="73"/>
      <c r="AA522" t="s">
        <v>377</v>
      </c>
      <c r="AB522" s="73">
        <v>46194</v>
      </c>
      <c r="AE522" t="s">
        <v>684</v>
      </c>
      <c r="AF522" t="s">
        <v>668</v>
      </c>
      <c r="AG522" t="s">
        <v>687</v>
      </c>
      <c r="AI522" t="s">
        <v>400</v>
      </c>
      <c r="AJ522">
        <v>1</v>
      </c>
      <c r="AK522" t="s">
        <v>372</v>
      </c>
      <c r="AP522" t="s">
        <v>374</v>
      </c>
      <c r="AQ522" s="73"/>
      <c r="BR522" s="73"/>
      <c r="CX522" s="73"/>
      <c r="EQ522" s="73"/>
    </row>
    <row r="523" spans="1:209" ht="14.25" customHeight="1" x14ac:dyDescent="0.25">
      <c r="A523" t="s">
        <v>692</v>
      </c>
      <c r="B523" t="s">
        <v>381</v>
      </c>
      <c r="C523">
        <v>1</v>
      </c>
      <c r="D523" t="s">
        <v>666</v>
      </c>
      <c r="E523" s="73"/>
      <c r="AB523" s="73"/>
      <c r="AQ523" s="73">
        <v>46194</v>
      </c>
      <c r="AT523" t="s">
        <v>670</v>
      </c>
      <c r="AU523" t="s">
        <v>384</v>
      </c>
      <c r="AV523" t="s">
        <v>384</v>
      </c>
      <c r="AW523" t="s">
        <v>384</v>
      </c>
      <c r="AX523" t="s">
        <v>384</v>
      </c>
      <c r="AY523" t="s">
        <v>384</v>
      </c>
      <c r="AZ523" t="s">
        <v>384</v>
      </c>
      <c r="BA523" t="s">
        <v>367</v>
      </c>
      <c r="BB523" t="s">
        <v>367</v>
      </c>
      <c r="BC523">
        <v>0</v>
      </c>
      <c r="BD523" t="s">
        <v>374</v>
      </c>
      <c r="BR523" s="73"/>
      <c r="CX523" s="73"/>
      <c r="EQ523" s="73"/>
    </row>
    <row r="524" spans="1:209" ht="14.25" customHeight="1" x14ac:dyDescent="0.25">
      <c r="A524" t="s">
        <v>693</v>
      </c>
      <c r="D524" t="s">
        <v>666</v>
      </c>
      <c r="E524" s="73">
        <v>46194</v>
      </c>
      <c r="H524" t="s">
        <v>368</v>
      </c>
      <c r="I524" t="s">
        <v>368</v>
      </c>
      <c r="J524">
        <v>1987</v>
      </c>
      <c r="K524" t="s">
        <v>369</v>
      </c>
      <c r="L524" t="s">
        <v>370</v>
      </c>
      <c r="M524" t="s">
        <v>371</v>
      </c>
      <c r="N524" t="s">
        <v>371</v>
      </c>
      <c r="O524" t="s">
        <v>371</v>
      </c>
      <c r="P524" t="s">
        <v>371</v>
      </c>
      <c r="Q524" t="s">
        <v>371</v>
      </c>
      <c r="R524" t="s">
        <v>372</v>
      </c>
      <c r="S524" t="s">
        <v>372</v>
      </c>
      <c r="T524" t="s">
        <v>372</v>
      </c>
      <c r="U524" t="s">
        <v>367</v>
      </c>
      <c r="W524" t="s">
        <v>367</v>
      </c>
      <c r="X524" t="s">
        <v>399</v>
      </c>
      <c r="Y524" t="s">
        <v>421</v>
      </c>
      <c r="Z524" t="s">
        <v>374</v>
      </c>
      <c r="AB524" s="73"/>
      <c r="AQ524" s="73"/>
      <c r="BG524" t="s">
        <v>371</v>
      </c>
      <c r="BH524" t="s">
        <v>371</v>
      </c>
      <c r="BI524" t="s">
        <v>371</v>
      </c>
      <c r="BJ524" t="s">
        <v>371</v>
      </c>
      <c r="BK524" t="s">
        <v>371</v>
      </c>
      <c r="BL524" t="s">
        <v>371</v>
      </c>
      <c r="BM524" t="s">
        <v>371</v>
      </c>
      <c r="BN524" t="s">
        <v>371</v>
      </c>
      <c r="BO524" t="s">
        <v>371</v>
      </c>
      <c r="BQ524" t="s">
        <v>375</v>
      </c>
      <c r="BR524" s="73"/>
      <c r="CX524" s="73"/>
      <c r="EQ524" s="73"/>
      <c r="FT524">
        <v>0</v>
      </c>
      <c r="FZ524" t="s">
        <v>371</v>
      </c>
      <c r="GA524" t="s">
        <v>371</v>
      </c>
      <c r="GB524" t="s">
        <v>371</v>
      </c>
      <c r="GC524" t="s">
        <v>371</v>
      </c>
      <c r="GD524" t="s">
        <v>371</v>
      </c>
      <c r="GF524" t="s">
        <v>371</v>
      </c>
      <c r="GG524" t="s">
        <v>371</v>
      </c>
      <c r="GH524" t="s">
        <v>371</v>
      </c>
      <c r="GI524" t="s">
        <v>371</v>
      </c>
      <c r="GJ524" t="s">
        <v>371</v>
      </c>
      <c r="GK524" t="s">
        <v>371</v>
      </c>
      <c r="GN524" t="s">
        <v>371</v>
      </c>
      <c r="GO524" t="s">
        <v>371</v>
      </c>
      <c r="GP524" t="s">
        <v>371</v>
      </c>
      <c r="GQ524" t="s">
        <v>371</v>
      </c>
      <c r="GR524" t="s">
        <v>371</v>
      </c>
      <c r="GS524" t="s">
        <v>371</v>
      </c>
      <c r="GT524" t="s">
        <v>371</v>
      </c>
      <c r="GU524" t="s">
        <v>371</v>
      </c>
      <c r="GV524" t="s">
        <v>371</v>
      </c>
      <c r="GW524" t="s">
        <v>371</v>
      </c>
      <c r="GX524" t="s">
        <v>371</v>
      </c>
      <c r="HA524" t="s">
        <v>375</v>
      </c>
    </row>
    <row r="525" spans="1:209" ht="14.25" customHeight="1" x14ac:dyDescent="0.25">
      <c r="A525" t="s">
        <v>693</v>
      </c>
      <c r="B525" t="s">
        <v>376</v>
      </c>
      <c r="C525">
        <v>1</v>
      </c>
      <c r="D525" t="s">
        <v>666</v>
      </c>
      <c r="E525" s="73"/>
      <c r="AA525" t="s">
        <v>377</v>
      </c>
      <c r="AB525" s="73">
        <v>46194</v>
      </c>
      <c r="AE525" t="s">
        <v>684</v>
      </c>
      <c r="AF525" t="s">
        <v>668</v>
      </c>
      <c r="AG525" t="s">
        <v>687</v>
      </c>
      <c r="AI525" t="s">
        <v>400</v>
      </c>
      <c r="AJ525">
        <v>1</v>
      </c>
      <c r="AK525" t="s">
        <v>372</v>
      </c>
      <c r="AP525" t="s">
        <v>374</v>
      </c>
      <c r="AQ525" s="73"/>
      <c r="BR525" s="73"/>
      <c r="CX525" s="73"/>
      <c r="EQ525" s="73"/>
    </row>
    <row r="526" spans="1:209" ht="14.25" customHeight="1" x14ac:dyDescent="0.25">
      <c r="A526" t="s">
        <v>693</v>
      </c>
      <c r="B526" t="s">
        <v>381</v>
      </c>
      <c r="C526">
        <v>1</v>
      </c>
      <c r="D526" t="s">
        <v>666</v>
      </c>
      <c r="E526" s="73"/>
      <c r="AB526" s="73"/>
      <c r="AQ526" s="73">
        <v>46194</v>
      </c>
      <c r="AT526" t="s">
        <v>674</v>
      </c>
      <c r="AU526" t="s">
        <v>384</v>
      </c>
      <c r="AV526" t="s">
        <v>384</v>
      </c>
      <c r="AW526" t="s">
        <v>384</v>
      </c>
      <c r="AX526" t="s">
        <v>383</v>
      </c>
      <c r="AY526" t="s">
        <v>384</v>
      </c>
      <c r="AZ526" t="s">
        <v>384</v>
      </c>
      <c r="BA526" t="s">
        <v>367</v>
      </c>
      <c r="BB526" t="s">
        <v>367</v>
      </c>
      <c r="BC526">
        <v>1</v>
      </c>
      <c r="BD526" t="s">
        <v>374</v>
      </c>
      <c r="BR526" s="73"/>
      <c r="CX526" s="73"/>
      <c r="EQ526" s="73"/>
    </row>
    <row r="527" spans="1:209" ht="14.25" customHeight="1" x14ac:dyDescent="0.25">
      <c r="A527" t="s">
        <v>694</v>
      </c>
      <c r="D527" t="s">
        <v>666</v>
      </c>
      <c r="E527" s="73">
        <v>46197</v>
      </c>
      <c r="H527" t="s">
        <v>368</v>
      </c>
      <c r="I527" t="s">
        <v>368</v>
      </c>
      <c r="J527">
        <v>1980</v>
      </c>
      <c r="K527" t="s">
        <v>369</v>
      </c>
      <c r="L527" t="s">
        <v>370</v>
      </c>
      <c r="M527" t="s">
        <v>371</v>
      </c>
      <c r="N527" t="s">
        <v>371</v>
      </c>
      <c r="O527" t="s">
        <v>371</v>
      </c>
      <c r="P527" t="s">
        <v>371</v>
      </c>
      <c r="Q527" t="s">
        <v>371</v>
      </c>
      <c r="R527" t="s">
        <v>372</v>
      </c>
      <c r="S527" t="s">
        <v>372</v>
      </c>
      <c r="T527" t="s">
        <v>372</v>
      </c>
      <c r="U527" t="s">
        <v>367</v>
      </c>
      <c r="W527" t="s">
        <v>367</v>
      </c>
      <c r="X527" t="s">
        <v>399</v>
      </c>
      <c r="Y527" t="s">
        <v>421</v>
      </c>
      <c r="Z527" t="s">
        <v>374</v>
      </c>
      <c r="AB527" s="73"/>
      <c r="AQ527" s="73"/>
      <c r="BG527" t="s">
        <v>371</v>
      </c>
      <c r="BH527" t="s">
        <v>371</v>
      </c>
      <c r="BI527" t="s">
        <v>371</v>
      </c>
      <c r="BJ527" t="s">
        <v>371</v>
      </c>
      <c r="BK527" t="s">
        <v>371</v>
      </c>
      <c r="BL527" t="s">
        <v>371</v>
      </c>
      <c r="BM527" t="s">
        <v>371</v>
      </c>
      <c r="BN527" t="s">
        <v>371</v>
      </c>
      <c r="BO527" t="s">
        <v>371</v>
      </c>
      <c r="BQ527" t="s">
        <v>375</v>
      </c>
      <c r="BR527" s="73"/>
      <c r="CX527" s="73"/>
      <c r="EQ527" s="73"/>
      <c r="FT527">
        <v>0</v>
      </c>
      <c r="FZ527" t="s">
        <v>371</v>
      </c>
      <c r="GA527" t="s">
        <v>371</v>
      </c>
      <c r="GB527" t="s">
        <v>371</v>
      </c>
      <c r="GC527" t="s">
        <v>371</v>
      </c>
      <c r="GD527" t="s">
        <v>371</v>
      </c>
      <c r="GF527" t="s">
        <v>371</v>
      </c>
      <c r="GG527" t="s">
        <v>371</v>
      </c>
      <c r="GH527" t="s">
        <v>371</v>
      </c>
      <c r="GI527" t="s">
        <v>371</v>
      </c>
      <c r="GJ527" t="s">
        <v>371</v>
      </c>
      <c r="GK527" t="s">
        <v>371</v>
      </c>
      <c r="GN527" t="s">
        <v>371</v>
      </c>
      <c r="GO527" t="s">
        <v>371</v>
      </c>
      <c r="GP527" t="s">
        <v>371</v>
      </c>
      <c r="GQ527" t="s">
        <v>371</v>
      </c>
      <c r="GR527" t="s">
        <v>371</v>
      </c>
      <c r="GS527" t="s">
        <v>371</v>
      </c>
      <c r="GT527" t="s">
        <v>371</v>
      </c>
      <c r="GU527" t="s">
        <v>371</v>
      </c>
      <c r="GV527" t="s">
        <v>371</v>
      </c>
      <c r="GW527" t="s">
        <v>371</v>
      </c>
      <c r="GX527" t="s">
        <v>371</v>
      </c>
      <c r="HA527" t="s">
        <v>375</v>
      </c>
    </row>
    <row r="528" spans="1:209" ht="14.25" customHeight="1" x14ac:dyDescent="0.25">
      <c r="A528" t="s">
        <v>694</v>
      </c>
      <c r="B528" t="s">
        <v>376</v>
      </c>
      <c r="C528">
        <v>1</v>
      </c>
      <c r="D528" t="s">
        <v>666</v>
      </c>
      <c r="E528" s="73"/>
      <c r="AA528" t="s">
        <v>377</v>
      </c>
      <c r="AB528" s="73">
        <v>46197</v>
      </c>
      <c r="AE528" t="s">
        <v>684</v>
      </c>
      <c r="AF528" t="s">
        <v>668</v>
      </c>
      <c r="AG528" t="s">
        <v>687</v>
      </c>
      <c r="AI528" t="s">
        <v>688</v>
      </c>
      <c r="AJ528">
        <v>0</v>
      </c>
      <c r="AK528" t="s">
        <v>372</v>
      </c>
      <c r="AP528" t="s">
        <v>374</v>
      </c>
      <c r="AQ528" s="73"/>
      <c r="BR528" s="73"/>
      <c r="CX528" s="73"/>
      <c r="EQ528" s="73"/>
    </row>
    <row r="529" spans="1:209" ht="14.25" customHeight="1" x14ac:dyDescent="0.25">
      <c r="A529" t="s">
        <v>694</v>
      </c>
      <c r="B529" t="s">
        <v>381</v>
      </c>
      <c r="C529">
        <v>1</v>
      </c>
      <c r="D529" t="s">
        <v>666</v>
      </c>
      <c r="E529" s="73"/>
      <c r="AB529" s="73"/>
      <c r="AQ529" s="73">
        <v>46197</v>
      </c>
      <c r="AT529" t="s">
        <v>674</v>
      </c>
      <c r="AU529" t="s">
        <v>385</v>
      </c>
      <c r="AV529" t="s">
        <v>383</v>
      </c>
      <c r="AW529" t="s">
        <v>384</v>
      </c>
      <c r="AX529" t="s">
        <v>383</v>
      </c>
      <c r="AY529" t="s">
        <v>384</v>
      </c>
      <c r="AZ529" t="s">
        <v>383</v>
      </c>
      <c r="BA529" t="s">
        <v>367</v>
      </c>
      <c r="BB529" t="s">
        <v>367</v>
      </c>
      <c r="BC529">
        <v>5</v>
      </c>
      <c r="BD529" t="s">
        <v>374</v>
      </c>
      <c r="BR529" s="73"/>
      <c r="CX529" s="73"/>
      <c r="EQ529" s="73"/>
    </row>
    <row r="530" spans="1:209" ht="14.25" customHeight="1" x14ac:dyDescent="0.25">
      <c r="A530" t="s">
        <v>695</v>
      </c>
      <c r="D530" t="s">
        <v>666</v>
      </c>
      <c r="E530" s="73">
        <v>46197</v>
      </c>
      <c r="H530" t="s">
        <v>368</v>
      </c>
      <c r="I530" t="s">
        <v>368</v>
      </c>
      <c r="J530">
        <v>1967</v>
      </c>
      <c r="K530" t="s">
        <v>369</v>
      </c>
      <c r="L530" t="s">
        <v>370</v>
      </c>
      <c r="M530" t="s">
        <v>371</v>
      </c>
      <c r="N530" t="s">
        <v>371</v>
      </c>
      <c r="O530" t="s">
        <v>371</v>
      </c>
      <c r="P530" t="s">
        <v>371</v>
      </c>
      <c r="Q530" t="s">
        <v>371</v>
      </c>
      <c r="R530" t="s">
        <v>372</v>
      </c>
      <c r="S530" t="s">
        <v>372</v>
      </c>
      <c r="T530" t="s">
        <v>372</v>
      </c>
      <c r="U530" t="s">
        <v>367</v>
      </c>
      <c r="W530" t="s">
        <v>367</v>
      </c>
      <c r="X530" t="s">
        <v>399</v>
      </c>
      <c r="Y530" t="s">
        <v>396</v>
      </c>
      <c r="Z530" t="s">
        <v>374</v>
      </c>
      <c r="AB530" s="73"/>
      <c r="AQ530" s="73"/>
      <c r="BG530" t="s">
        <v>371</v>
      </c>
      <c r="BH530" t="s">
        <v>371</v>
      </c>
      <c r="BI530" t="s">
        <v>371</v>
      </c>
      <c r="BJ530" t="s">
        <v>371</v>
      </c>
      <c r="BK530" t="s">
        <v>371</v>
      </c>
      <c r="BL530" t="s">
        <v>371</v>
      </c>
      <c r="BM530" t="s">
        <v>371</v>
      </c>
      <c r="BN530" t="s">
        <v>371</v>
      </c>
      <c r="BO530" t="s">
        <v>371</v>
      </c>
      <c r="BQ530" t="s">
        <v>375</v>
      </c>
      <c r="BR530" s="73"/>
      <c r="CX530" s="73"/>
      <c r="EQ530" s="73"/>
      <c r="FT530">
        <v>0</v>
      </c>
      <c r="FZ530" t="s">
        <v>371</v>
      </c>
      <c r="GA530" t="s">
        <v>371</v>
      </c>
      <c r="GB530" t="s">
        <v>371</v>
      </c>
      <c r="GC530" t="s">
        <v>371</v>
      </c>
      <c r="GD530" t="s">
        <v>371</v>
      </c>
      <c r="GF530" t="s">
        <v>371</v>
      </c>
      <c r="GG530" t="s">
        <v>371</v>
      </c>
      <c r="GH530" t="s">
        <v>371</v>
      </c>
      <c r="GI530" t="s">
        <v>371</v>
      </c>
      <c r="GJ530" t="s">
        <v>371</v>
      </c>
      <c r="GK530" t="s">
        <v>371</v>
      </c>
      <c r="GN530" t="s">
        <v>371</v>
      </c>
      <c r="GO530" t="s">
        <v>371</v>
      </c>
      <c r="GP530" t="s">
        <v>371</v>
      </c>
      <c r="GQ530" t="s">
        <v>371</v>
      </c>
      <c r="GR530" t="s">
        <v>371</v>
      </c>
      <c r="GS530" t="s">
        <v>371</v>
      </c>
      <c r="GT530" t="s">
        <v>371</v>
      </c>
      <c r="GU530" t="s">
        <v>371</v>
      </c>
      <c r="GV530" t="s">
        <v>371</v>
      </c>
      <c r="GW530" t="s">
        <v>371</v>
      </c>
      <c r="GX530" t="s">
        <v>371</v>
      </c>
      <c r="HA530" t="s">
        <v>375</v>
      </c>
    </row>
    <row r="531" spans="1:209" ht="14.25" customHeight="1" x14ac:dyDescent="0.25">
      <c r="A531" t="s">
        <v>695</v>
      </c>
      <c r="B531" t="s">
        <v>376</v>
      </c>
      <c r="C531">
        <v>1</v>
      </c>
      <c r="D531" t="s">
        <v>666</v>
      </c>
      <c r="E531" s="73"/>
      <c r="AA531" t="s">
        <v>377</v>
      </c>
      <c r="AB531" s="73">
        <v>46197</v>
      </c>
      <c r="AE531" t="s">
        <v>684</v>
      </c>
      <c r="AF531" t="s">
        <v>668</v>
      </c>
      <c r="AG531" t="s">
        <v>687</v>
      </c>
      <c r="AI531" t="s">
        <v>688</v>
      </c>
      <c r="AJ531">
        <v>0</v>
      </c>
      <c r="AK531" t="s">
        <v>372</v>
      </c>
      <c r="AP531" t="s">
        <v>374</v>
      </c>
      <c r="AQ531" s="73"/>
      <c r="BR531" s="73"/>
      <c r="CX531" s="73"/>
      <c r="EQ531" s="73"/>
    </row>
    <row r="532" spans="1:209" ht="14.25" customHeight="1" x14ac:dyDescent="0.25">
      <c r="A532" t="s">
        <v>695</v>
      </c>
      <c r="B532" t="s">
        <v>381</v>
      </c>
      <c r="C532">
        <v>1</v>
      </c>
      <c r="D532" t="s">
        <v>666</v>
      </c>
      <c r="E532" s="73"/>
      <c r="AB532" s="73"/>
      <c r="AQ532" s="73">
        <v>46197</v>
      </c>
      <c r="AT532" t="s">
        <v>674</v>
      </c>
      <c r="AU532" t="s">
        <v>385</v>
      </c>
      <c r="AV532" t="s">
        <v>383</v>
      </c>
      <c r="AW532" t="s">
        <v>383</v>
      </c>
      <c r="AX532" t="s">
        <v>383</v>
      </c>
      <c r="AY532" t="s">
        <v>384</v>
      </c>
      <c r="AZ532" t="s">
        <v>383</v>
      </c>
      <c r="BA532" t="s">
        <v>367</v>
      </c>
      <c r="BB532" t="s">
        <v>367</v>
      </c>
      <c r="BC532">
        <v>6</v>
      </c>
      <c r="BD532" t="s">
        <v>374</v>
      </c>
      <c r="BR532" s="73"/>
      <c r="CX532" s="73"/>
      <c r="EQ532" s="73"/>
    </row>
    <row r="533" spans="1:209" ht="14.25" customHeight="1" x14ac:dyDescent="0.25">
      <c r="A533" t="s">
        <v>696</v>
      </c>
      <c r="D533" t="s">
        <v>666</v>
      </c>
      <c r="E533" s="73">
        <v>46197</v>
      </c>
      <c r="H533" t="s">
        <v>368</v>
      </c>
      <c r="I533" t="s">
        <v>368</v>
      </c>
      <c r="J533">
        <v>1964</v>
      </c>
      <c r="K533" t="s">
        <v>369</v>
      </c>
      <c r="L533" t="s">
        <v>370</v>
      </c>
      <c r="M533" t="s">
        <v>371</v>
      </c>
      <c r="N533" t="s">
        <v>371</v>
      </c>
      <c r="O533" t="s">
        <v>371</v>
      </c>
      <c r="P533" t="s">
        <v>371</v>
      </c>
      <c r="Q533" t="s">
        <v>371</v>
      </c>
      <c r="R533" t="s">
        <v>372</v>
      </c>
      <c r="S533" t="s">
        <v>372</v>
      </c>
      <c r="T533" t="s">
        <v>372</v>
      </c>
      <c r="U533" t="s">
        <v>367</v>
      </c>
      <c r="W533" t="s">
        <v>367</v>
      </c>
      <c r="X533" t="s">
        <v>399</v>
      </c>
      <c r="Y533" t="s">
        <v>421</v>
      </c>
      <c r="Z533" t="s">
        <v>374</v>
      </c>
      <c r="AB533" s="73"/>
      <c r="AQ533" s="73"/>
      <c r="BG533" t="s">
        <v>371</v>
      </c>
      <c r="BH533" t="s">
        <v>371</v>
      </c>
      <c r="BI533" t="s">
        <v>371</v>
      </c>
      <c r="BJ533" t="s">
        <v>371</v>
      </c>
      <c r="BK533" t="s">
        <v>371</v>
      </c>
      <c r="BL533" t="s">
        <v>371</v>
      </c>
      <c r="BM533" t="s">
        <v>371</v>
      </c>
      <c r="BN533" t="s">
        <v>371</v>
      </c>
      <c r="BO533" t="s">
        <v>371</v>
      </c>
      <c r="BQ533" t="s">
        <v>375</v>
      </c>
      <c r="BR533" s="73"/>
      <c r="CX533" s="73"/>
      <c r="EQ533" s="73"/>
      <c r="FT533">
        <v>0</v>
      </c>
      <c r="FZ533" t="s">
        <v>371</v>
      </c>
      <c r="GA533" t="s">
        <v>371</v>
      </c>
      <c r="GB533" t="s">
        <v>371</v>
      </c>
      <c r="GC533" t="s">
        <v>371</v>
      </c>
      <c r="GD533" t="s">
        <v>371</v>
      </c>
      <c r="GF533" t="s">
        <v>371</v>
      </c>
      <c r="GG533" t="s">
        <v>371</v>
      </c>
      <c r="GH533" t="s">
        <v>371</v>
      </c>
      <c r="GI533" t="s">
        <v>371</v>
      </c>
      <c r="GJ533" t="s">
        <v>371</v>
      </c>
      <c r="GK533" t="s">
        <v>371</v>
      </c>
      <c r="GN533" t="s">
        <v>371</v>
      </c>
      <c r="GO533" t="s">
        <v>371</v>
      </c>
      <c r="GP533" t="s">
        <v>371</v>
      </c>
      <c r="GQ533" t="s">
        <v>371</v>
      </c>
      <c r="GR533" t="s">
        <v>371</v>
      </c>
      <c r="GS533" t="s">
        <v>371</v>
      </c>
      <c r="GT533" t="s">
        <v>371</v>
      </c>
      <c r="GU533" t="s">
        <v>371</v>
      </c>
      <c r="GV533" t="s">
        <v>371</v>
      </c>
      <c r="GW533" t="s">
        <v>371</v>
      </c>
      <c r="GX533" t="s">
        <v>371</v>
      </c>
      <c r="HA533" t="s">
        <v>375</v>
      </c>
    </row>
    <row r="534" spans="1:209" ht="14.25" customHeight="1" x14ac:dyDescent="0.25">
      <c r="A534" t="s">
        <v>696</v>
      </c>
      <c r="B534" t="s">
        <v>376</v>
      </c>
      <c r="C534">
        <v>1</v>
      </c>
      <c r="D534" t="s">
        <v>666</v>
      </c>
      <c r="E534" s="73"/>
      <c r="AA534" t="s">
        <v>377</v>
      </c>
      <c r="AB534" s="73">
        <v>46197</v>
      </c>
      <c r="AE534" t="s">
        <v>684</v>
      </c>
      <c r="AF534" t="s">
        <v>668</v>
      </c>
      <c r="AG534" t="s">
        <v>687</v>
      </c>
      <c r="AI534" t="s">
        <v>688</v>
      </c>
      <c r="AJ534">
        <v>0</v>
      </c>
      <c r="AK534" t="s">
        <v>372</v>
      </c>
      <c r="AP534" t="s">
        <v>374</v>
      </c>
      <c r="AQ534" s="73"/>
      <c r="BR534" s="73"/>
      <c r="CX534" s="73"/>
      <c r="EQ534" s="73"/>
    </row>
    <row r="535" spans="1:209" ht="14.25" customHeight="1" x14ac:dyDescent="0.25">
      <c r="A535" t="s">
        <v>696</v>
      </c>
      <c r="B535" t="s">
        <v>381</v>
      </c>
      <c r="C535">
        <v>1</v>
      </c>
      <c r="D535" t="s">
        <v>666</v>
      </c>
      <c r="E535" s="73"/>
      <c r="AB535" s="73"/>
      <c r="AQ535" s="73">
        <v>46197</v>
      </c>
      <c r="AT535" t="s">
        <v>674</v>
      </c>
      <c r="AU535" t="s">
        <v>385</v>
      </c>
      <c r="AV535" t="s">
        <v>384</v>
      </c>
      <c r="AW535" t="s">
        <v>384</v>
      </c>
      <c r="AX535" t="s">
        <v>383</v>
      </c>
      <c r="AY535" t="s">
        <v>384</v>
      </c>
      <c r="AZ535" t="s">
        <v>385</v>
      </c>
      <c r="BA535" t="s">
        <v>367</v>
      </c>
      <c r="BB535" t="s">
        <v>367</v>
      </c>
      <c r="BC535">
        <v>5</v>
      </c>
      <c r="BD535" t="s">
        <v>374</v>
      </c>
      <c r="BR535" s="73"/>
      <c r="CX535" s="73"/>
      <c r="EQ535" s="73"/>
    </row>
    <row r="536" spans="1:209" ht="14.25" customHeight="1" x14ac:dyDescent="0.25">
      <c r="A536" t="s">
        <v>697</v>
      </c>
      <c r="D536" t="s">
        <v>666</v>
      </c>
      <c r="E536" s="73">
        <v>46197</v>
      </c>
      <c r="H536" t="s">
        <v>368</v>
      </c>
      <c r="I536" t="s">
        <v>368</v>
      </c>
      <c r="J536">
        <v>1979</v>
      </c>
      <c r="K536" t="s">
        <v>369</v>
      </c>
      <c r="L536" t="s">
        <v>370</v>
      </c>
      <c r="M536" t="s">
        <v>371</v>
      </c>
      <c r="N536" t="s">
        <v>371</v>
      </c>
      <c r="O536" t="s">
        <v>371</v>
      </c>
      <c r="P536" t="s">
        <v>371</v>
      </c>
      <c r="Q536" t="s">
        <v>371</v>
      </c>
      <c r="R536" t="s">
        <v>372</v>
      </c>
      <c r="S536" t="s">
        <v>372</v>
      </c>
      <c r="T536" t="s">
        <v>367</v>
      </c>
      <c r="U536" t="s">
        <v>367</v>
      </c>
      <c r="W536" t="s">
        <v>367</v>
      </c>
      <c r="X536" t="s">
        <v>432</v>
      </c>
      <c r="Y536" t="s">
        <v>421</v>
      </c>
      <c r="Z536" t="s">
        <v>374</v>
      </c>
      <c r="AB536" s="73"/>
      <c r="AQ536" s="73"/>
      <c r="BG536" t="s">
        <v>371</v>
      </c>
      <c r="BH536" t="s">
        <v>371</v>
      </c>
      <c r="BI536" t="s">
        <v>371</v>
      </c>
      <c r="BJ536" t="s">
        <v>371</v>
      </c>
      <c r="BK536" t="s">
        <v>371</v>
      </c>
      <c r="BL536" t="s">
        <v>371</v>
      </c>
      <c r="BM536" t="s">
        <v>371</v>
      </c>
      <c r="BN536" t="s">
        <v>371</v>
      </c>
      <c r="BO536" t="s">
        <v>371</v>
      </c>
      <c r="BQ536" t="s">
        <v>375</v>
      </c>
      <c r="BR536" s="73"/>
      <c r="CX536" s="73"/>
      <c r="EQ536" s="73"/>
      <c r="FT536">
        <v>0</v>
      </c>
      <c r="FZ536" t="s">
        <v>371</v>
      </c>
      <c r="GA536" t="s">
        <v>371</v>
      </c>
      <c r="GB536" t="s">
        <v>371</v>
      </c>
      <c r="GC536" t="s">
        <v>371</v>
      </c>
      <c r="GD536" t="s">
        <v>371</v>
      </c>
      <c r="GF536" t="s">
        <v>371</v>
      </c>
      <c r="GG536" t="s">
        <v>371</v>
      </c>
      <c r="GH536" t="s">
        <v>371</v>
      </c>
      <c r="GI536" t="s">
        <v>371</v>
      </c>
      <c r="GJ536" t="s">
        <v>371</v>
      </c>
      <c r="GK536" t="s">
        <v>371</v>
      </c>
      <c r="GN536" t="s">
        <v>371</v>
      </c>
      <c r="GO536" t="s">
        <v>371</v>
      </c>
      <c r="GP536" t="s">
        <v>371</v>
      </c>
      <c r="GQ536" t="s">
        <v>371</v>
      </c>
      <c r="GR536" t="s">
        <v>371</v>
      </c>
      <c r="GS536" t="s">
        <v>371</v>
      </c>
      <c r="GT536" t="s">
        <v>371</v>
      </c>
      <c r="GU536" t="s">
        <v>371</v>
      </c>
      <c r="GV536" t="s">
        <v>371</v>
      </c>
      <c r="GW536" t="s">
        <v>371</v>
      </c>
      <c r="GX536" t="s">
        <v>371</v>
      </c>
      <c r="HA536" t="s">
        <v>375</v>
      </c>
    </row>
    <row r="537" spans="1:209" ht="14.25" customHeight="1" x14ac:dyDescent="0.25">
      <c r="A537" t="s">
        <v>697</v>
      </c>
      <c r="B537" t="s">
        <v>376</v>
      </c>
      <c r="C537">
        <v>1</v>
      </c>
      <c r="D537" t="s">
        <v>666</v>
      </c>
      <c r="E537" s="73"/>
      <c r="AA537" t="s">
        <v>377</v>
      </c>
      <c r="AB537" s="73">
        <v>46197</v>
      </c>
      <c r="AE537" t="s">
        <v>684</v>
      </c>
      <c r="AF537" t="s">
        <v>668</v>
      </c>
      <c r="AG537" t="s">
        <v>687</v>
      </c>
      <c r="AI537" t="s">
        <v>688</v>
      </c>
      <c r="AJ537">
        <v>0</v>
      </c>
      <c r="AK537" t="s">
        <v>372</v>
      </c>
      <c r="AP537" t="s">
        <v>374</v>
      </c>
      <c r="AQ537" s="73"/>
      <c r="BR537" s="73"/>
      <c r="CX537" s="73"/>
      <c r="EQ537" s="73"/>
    </row>
    <row r="538" spans="1:209" ht="14.25" customHeight="1" x14ac:dyDescent="0.25">
      <c r="A538" t="s">
        <v>697</v>
      </c>
      <c r="B538" t="s">
        <v>381</v>
      </c>
      <c r="C538">
        <v>1</v>
      </c>
      <c r="D538" t="s">
        <v>666</v>
      </c>
      <c r="E538" s="73"/>
      <c r="AB538" s="73"/>
      <c r="AQ538" s="73">
        <v>46197</v>
      </c>
      <c r="AT538" t="s">
        <v>674</v>
      </c>
      <c r="AU538" t="s">
        <v>384</v>
      </c>
      <c r="AV538" t="s">
        <v>383</v>
      </c>
      <c r="AW538" t="s">
        <v>384</v>
      </c>
      <c r="AX538" t="s">
        <v>385</v>
      </c>
      <c r="AY538" t="s">
        <v>384</v>
      </c>
      <c r="AZ538" t="s">
        <v>385</v>
      </c>
      <c r="BA538" t="s">
        <v>367</v>
      </c>
      <c r="BB538" t="s">
        <v>367</v>
      </c>
      <c r="BC538">
        <v>5</v>
      </c>
      <c r="BD538" t="s">
        <v>374</v>
      </c>
      <c r="BR538" s="73"/>
      <c r="CX538" s="73"/>
      <c r="EQ538" s="73"/>
    </row>
    <row r="539" spans="1:209" ht="14.25" customHeight="1" x14ac:dyDescent="0.25">
      <c r="A539" t="s">
        <v>698</v>
      </c>
      <c r="D539" t="s">
        <v>666</v>
      </c>
      <c r="E539" s="73">
        <v>46197</v>
      </c>
      <c r="H539" t="s">
        <v>368</v>
      </c>
      <c r="I539" t="s">
        <v>368</v>
      </c>
      <c r="J539">
        <v>1983</v>
      </c>
      <c r="K539" t="s">
        <v>369</v>
      </c>
      <c r="L539" t="s">
        <v>370</v>
      </c>
      <c r="M539" t="s">
        <v>371</v>
      </c>
      <c r="N539" t="s">
        <v>371</v>
      </c>
      <c r="O539" t="s">
        <v>371</v>
      </c>
      <c r="P539" t="s">
        <v>371</v>
      </c>
      <c r="Q539" t="s">
        <v>371</v>
      </c>
      <c r="R539" t="s">
        <v>372</v>
      </c>
      <c r="S539" t="s">
        <v>372</v>
      </c>
      <c r="T539" t="s">
        <v>372</v>
      </c>
      <c r="U539" t="s">
        <v>367</v>
      </c>
      <c r="W539" t="s">
        <v>367</v>
      </c>
      <c r="X539" t="s">
        <v>399</v>
      </c>
      <c r="Y539" t="s">
        <v>421</v>
      </c>
      <c r="Z539" t="s">
        <v>374</v>
      </c>
      <c r="AB539" s="73"/>
      <c r="AQ539" s="73"/>
      <c r="BG539" t="s">
        <v>371</v>
      </c>
      <c r="BH539" t="s">
        <v>371</v>
      </c>
      <c r="BI539" t="s">
        <v>371</v>
      </c>
      <c r="BJ539" t="s">
        <v>371</v>
      </c>
      <c r="BK539" t="s">
        <v>371</v>
      </c>
      <c r="BL539" t="s">
        <v>371</v>
      </c>
      <c r="BM539" t="s">
        <v>371</v>
      </c>
      <c r="BN539" t="s">
        <v>371</v>
      </c>
      <c r="BO539" t="s">
        <v>371</v>
      </c>
      <c r="BQ539" t="s">
        <v>375</v>
      </c>
      <c r="BR539" s="73"/>
      <c r="CX539" s="73"/>
      <c r="EQ539" s="73"/>
      <c r="FT539">
        <v>0</v>
      </c>
      <c r="FZ539" t="s">
        <v>371</v>
      </c>
      <c r="GA539" t="s">
        <v>371</v>
      </c>
      <c r="GB539" t="s">
        <v>371</v>
      </c>
      <c r="GC539" t="s">
        <v>371</v>
      </c>
      <c r="GD539" t="s">
        <v>371</v>
      </c>
      <c r="GF539" t="s">
        <v>371</v>
      </c>
      <c r="GG539" t="s">
        <v>371</v>
      </c>
      <c r="GH539" t="s">
        <v>371</v>
      </c>
      <c r="GI539" t="s">
        <v>371</v>
      </c>
      <c r="GJ539" t="s">
        <v>371</v>
      </c>
      <c r="GK539" t="s">
        <v>371</v>
      </c>
      <c r="GN539" t="s">
        <v>371</v>
      </c>
      <c r="GO539" t="s">
        <v>371</v>
      </c>
      <c r="GP539" t="s">
        <v>371</v>
      </c>
      <c r="GQ539" t="s">
        <v>371</v>
      </c>
      <c r="GR539" t="s">
        <v>371</v>
      </c>
      <c r="GS539" t="s">
        <v>371</v>
      </c>
      <c r="GT539" t="s">
        <v>371</v>
      </c>
      <c r="GU539" t="s">
        <v>371</v>
      </c>
      <c r="GV539" t="s">
        <v>371</v>
      </c>
      <c r="GW539" t="s">
        <v>371</v>
      </c>
      <c r="GX539" t="s">
        <v>371</v>
      </c>
      <c r="HA539" t="s">
        <v>375</v>
      </c>
    </row>
    <row r="540" spans="1:209" ht="14.25" customHeight="1" x14ac:dyDescent="0.25">
      <c r="A540" t="s">
        <v>698</v>
      </c>
      <c r="B540" t="s">
        <v>376</v>
      </c>
      <c r="C540">
        <v>1</v>
      </c>
      <c r="D540" t="s">
        <v>666</v>
      </c>
      <c r="E540" s="73"/>
      <c r="AA540" t="s">
        <v>377</v>
      </c>
      <c r="AB540" s="73">
        <v>46197</v>
      </c>
      <c r="AE540" t="s">
        <v>684</v>
      </c>
      <c r="AF540" t="s">
        <v>668</v>
      </c>
      <c r="AG540" t="s">
        <v>687</v>
      </c>
      <c r="AI540" t="s">
        <v>688</v>
      </c>
      <c r="AJ540">
        <v>0</v>
      </c>
      <c r="AK540" t="s">
        <v>372</v>
      </c>
      <c r="AP540" t="s">
        <v>374</v>
      </c>
      <c r="AQ540" s="73"/>
      <c r="BR540" s="73"/>
      <c r="CX540" s="73"/>
      <c r="EQ540" s="73"/>
    </row>
    <row r="541" spans="1:209" ht="14.25" customHeight="1" x14ac:dyDescent="0.25">
      <c r="A541" t="s">
        <v>698</v>
      </c>
      <c r="B541" t="s">
        <v>381</v>
      </c>
      <c r="C541">
        <v>1</v>
      </c>
      <c r="D541" t="s">
        <v>666</v>
      </c>
      <c r="E541" s="73"/>
      <c r="AB541" s="73"/>
      <c r="AQ541" s="73">
        <v>46197</v>
      </c>
      <c r="AT541" t="s">
        <v>674</v>
      </c>
      <c r="AU541" t="s">
        <v>383</v>
      </c>
      <c r="AV541" t="s">
        <v>383</v>
      </c>
      <c r="AW541" t="s">
        <v>384</v>
      </c>
      <c r="AX541" t="s">
        <v>383</v>
      </c>
      <c r="AY541" t="s">
        <v>384</v>
      </c>
      <c r="AZ541" t="s">
        <v>383</v>
      </c>
      <c r="BA541" t="s">
        <v>367</v>
      </c>
      <c r="BB541" t="s">
        <v>367</v>
      </c>
      <c r="BC541">
        <v>4</v>
      </c>
      <c r="BD541" t="s">
        <v>374</v>
      </c>
      <c r="BR541" s="73"/>
      <c r="CX541" s="73"/>
      <c r="EQ541" s="73"/>
    </row>
    <row r="542" spans="1:209" ht="14.25" customHeight="1" x14ac:dyDescent="0.25">
      <c r="A542" t="s">
        <v>699</v>
      </c>
      <c r="D542" t="s">
        <v>666</v>
      </c>
      <c r="E542" s="73">
        <v>46197</v>
      </c>
      <c r="H542" t="s">
        <v>368</v>
      </c>
      <c r="I542" t="s">
        <v>368</v>
      </c>
      <c r="J542">
        <v>1984</v>
      </c>
      <c r="K542" t="s">
        <v>369</v>
      </c>
      <c r="L542" t="s">
        <v>370</v>
      </c>
      <c r="M542" t="s">
        <v>371</v>
      </c>
      <c r="N542" t="s">
        <v>371</v>
      </c>
      <c r="O542" t="s">
        <v>371</v>
      </c>
      <c r="P542" t="s">
        <v>371</v>
      </c>
      <c r="Q542" t="s">
        <v>371</v>
      </c>
      <c r="R542" t="s">
        <v>372</v>
      </c>
      <c r="S542" t="s">
        <v>372</v>
      </c>
      <c r="T542" t="s">
        <v>372</v>
      </c>
      <c r="U542" t="s">
        <v>367</v>
      </c>
      <c r="W542" t="s">
        <v>367</v>
      </c>
      <c r="X542" t="s">
        <v>399</v>
      </c>
      <c r="Y542" t="s">
        <v>421</v>
      </c>
      <c r="Z542" t="s">
        <v>374</v>
      </c>
      <c r="AB542" s="73"/>
      <c r="AQ542" s="73"/>
      <c r="BG542" t="s">
        <v>371</v>
      </c>
      <c r="BH542" t="s">
        <v>371</v>
      </c>
      <c r="BI542" t="s">
        <v>371</v>
      </c>
      <c r="BJ542" t="s">
        <v>371</v>
      </c>
      <c r="BK542" t="s">
        <v>371</v>
      </c>
      <c r="BL542" t="s">
        <v>371</v>
      </c>
      <c r="BM542" t="s">
        <v>371</v>
      </c>
      <c r="BN542" t="s">
        <v>371</v>
      </c>
      <c r="BO542" t="s">
        <v>371</v>
      </c>
      <c r="BQ542" t="s">
        <v>375</v>
      </c>
      <c r="BR542" s="73"/>
      <c r="CX542" s="73"/>
      <c r="EQ542" s="73"/>
      <c r="FT542">
        <v>0</v>
      </c>
      <c r="FZ542" t="s">
        <v>371</v>
      </c>
      <c r="GA542" t="s">
        <v>371</v>
      </c>
      <c r="GB542" t="s">
        <v>371</v>
      </c>
      <c r="GC542" t="s">
        <v>371</v>
      </c>
      <c r="GD542" t="s">
        <v>371</v>
      </c>
      <c r="GF542" t="s">
        <v>371</v>
      </c>
      <c r="GG542" t="s">
        <v>371</v>
      </c>
      <c r="GH542" t="s">
        <v>371</v>
      </c>
      <c r="GI542" t="s">
        <v>371</v>
      </c>
      <c r="GJ542" t="s">
        <v>371</v>
      </c>
      <c r="GK542" t="s">
        <v>371</v>
      </c>
      <c r="GN542" t="s">
        <v>371</v>
      </c>
      <c r="GO542" t="s">
        <v>371</v>
      </c>
      <c r="GP542" t="s">
        <v>371</v>
      </c>
      <c r="GQ542" t="s">
        <v>371</v>
      </c>
      <c r="GR542" t="s">
        <v>371</v>
      </c>
      <c r="GS542" t="s">
        <v>371</v>
      </c>
      <c r="GT542" t="s">
        <v>371</v>
      </c>
      <c r="GU542" t="s">
        <v>371</v>
      </c>
      <c r="GV542" t="s">
        <v>371</v>
      </c>
      <c r="GW542" t="s">
        <v>371</v>
      </c>
      <c r="GX542" t="s">
        <v>371</v>
      </c>
      <c r="HA542" t="s">
        <v>375</v>
      </c>
    </row>
    <row r="543" spans="1:209" ht="14.25" customHeight="1" x14ac:dyDescent="0.25">
      <c r="A543" t="s">
        <v>699</v>
      </c>
      <c r="B543" t="s">
        <v>376</v>
      </c>
      <c r="C543">
        <v>1</v>
      </c>
      <c r="D543" t="s">
        <v>666</v>
      </c>
      <c r="E543" s="73"/>
      <c r="AA543" t="s">
        <v>377</v>
      </c>
      <c r="AB543" s="73">
        <v>46197</v>
      </c>
      <c r="AE543" t="s">
        <v>684</v>
      </c>
      <c r="AF543" t="s">
        <v>668</v>
      </c>
      <c r="AG543" t="s">
        <v>687</v>
      </c>
      <c r="AI543" t="s">
        <v>688</v>
      </c>
      <c r="AJ543">
        <v>0</v>
      </c>
      <c r="AK543" t="s">
        <v>372</v>
      </c>
      <c r="AP543" t="s">
        <v>374</v>
      </c>
      <c r="AQ543" s="73"/>
      <c r="BR543" s="73"/>
      <c r="CX543" s="73"/>
      <c r="EQ543" s="73"/>
    </row>
    <row r="544" spans="1:209" ht="14.25" customHeight="1" x14ac:dyDescent="0.25">
      <c r="A544" t="s">
        <v>699</v>
      </c>
      <c r="B544" t="s">
        <v>381</v>
      </c>
      <c r="C544">
        <v>1</v>
      </c>
      <c r="D544" t="s">
        <v>666</v>
      </c>
      <c r="E544" s="73"/>
      <c r="AB544" s="73"/>
      <c r="AQ544" s="73">
        <v>46197</v>
      </c>
      <c r="AT544" t="s">
        <v>677</v>
      </c>
      <c r="AU544" t="s">
        <v>383</v>
      </c>
      <c r="AV544" t="s">
        <v>383</v>
      </c>
      <c r="AW544" t="s">
        <v>383</v>
      </c>
      <c r="AX544" t="s">
        <v>383</v>
      </c>
      <c r="AY544" t="s">
        <v>383</v>
      </c>
      <c r="AZ544" t="s">
        <v>384</v>
      </c>
      <c r="BA544" t="s">
        <v>367</v>
      </c>
      <c r="BB544" t="s">
        <v>367</v>
      </c>
      <c r="BC544">
        <v>5</v>
      </c>
      <c r="BD544" t="s">
        <v>374</v>
      </c>
      <c r="BR544" s="73"/>
      <c r="CX544" s="73"/>
      <c r="EQ544" s="73"/>
    </row>
    <row r="545" spans="1:209" ht="14.25" customHeight="1" x14ac:dyDescent="0.25">
      <c r="A545" t="s">
        <v>700</v>
      </c>
      <c r="D545" t="s">
        <v>666</v>
      </c>
      <c r="E545" s="73">
        <v>46197</v>
      </c>
      <c r="H545" t="s">
        <v>368</v>
      </c>
      <c r="I545" t="s">
        <v>368</v>
      </c>
      <c r="J545">
        <v>1968</v>
      </c>
      <c r="K545" t="s">
        <v>369</v>
      </c>
      <c r="L545" t="s">
        <v>370</v>
      </c>
      <c r="M545" t="s">
        <v>371</v>
      </c>
      <c r="N545" t="s">
        <v>371</v>
      </c>
      <c r="O545" t="s">
        <v>371</v>
      </c>
      <c r="P545" t="s">
        <v>371</v>
      </c>
      <c r="Q545" t="s">
        <v>371</v>
      </c>
      <c r="R545" t="s">
        <v>372</v>
      </c>
      <c r="S545" t="s">
        <v>372</v>
      </c>
      <c r="T545" t="s">
        <v>372</v>
      </c>
      <c r="U545" t="s">
        <v>367</v>
      </c>
      <c r="W545" t="s">
        <v>367</v>
      </c>
      <c r="X545" t="s">
        <v>399</v>
      </c>
      <c r="Y545" t="s">
        <v>396</v>
      </c>
      <c r="Z545" t="s">
        <v>374</v>
      </c>
      <c r="AB545" s="73"/>
      <c r="AQ545" s="73"/>
      <c r="BG545" t="s">
        <v>371</v>
      </c>
      <c r="BH545" t="s">
        <v>371</v>
      </c>
      <c r="BI545" t="s">
        <v>371</v>
      </c>
      <c r="BJ545" t="s">
        <v>371</v>
      </c>
      <c r="BK545" t="s">
        <v>371</v>
      </c>
      <c r="BL545" t="s">
        <v>371</v>
      </c>
      <c r="BM545" t="s">
        <v>371</v>
      </c>
      <c r="BN545" t="s">
        <v>371</v>
      </c>
      <c r="BO545" t="s">
        <v>371</v>
      </c>
      <c r="BQ545" t="s">
        <v>375</v>
      </c>
      <c r="BR545" s="73"/>
      <c r="CX545" s="73"/>
      <c r="EQ545" s="73"/>
      <c r="FT545">
        <v>0</v>
      </c>
      <c r="FZ545" t="s">
        <v>371</v>
      </c>
      <c r="GA545" t="s">
        <v>371</v>
      </c>
      <c r="GB545" t="s">
        <v>371</v>
      </c>
      <c r="GC545" t="s">
        <v>371</v>
      </c>
      <c r="GD545" t="s">
        <v>371</v>
      </c>
      <c r="GF545" t="s">
        <v>371</v>
      </c>
      <c r="GG545" t="s">
        <v>371</v>
      </c>
      <c r="GH545" t="s">
        <v>371</v>
      </c>
      <c r="GI545" t="s">
        <v>371</v>
      </c>
      <c r="GJ545" t="s">
        <v>371</v>
      </c>
      <c r="GK545" t="s">
        <v>371</v>
      </c>
      <c r="GN545" t="s">
        <v>371</v>
      </c>
      <c r="GO545" t="s">
        <v>371</v>
      </c>
      <c r="GP545" t="s">
        <v>371</v>
      </c>
      <c r="GQ545" t="s">
        <v>371</v>
      </c>
      <c r="GR545" t="s">
        <v>371</v>
      </c>
      <c r="GS545" t="s">
        <v>371</v>
      </c>
      <c r="GT545" t="s">
        <v>371</v>
      </c>
      <c r="GU545" t="s">
        <v>371</v>
      </c>
      <c r="GV545" t="s">
        <v>371</v>
      </c>
      <c r="GW545" t="s">
        <v>371</v>
      </c>
      <c r="GX545" t="s">
        <v>371</v>
      </c>
      <c r="HA545" t="s">
        <v>375</v>
      </c>
    </row>
    <row r="546" spans="1:209" ht="14.25" customHeight="1" x14ac:dyDescent="0.25">
      <c r="A546" t="s">
        <v>700</v>
      </c>
      <c r="B546" t="s">
        <v>376</v>
      </c>
      <c r="C546">
        <v>1</v>
      </c>
      <c r="D546" t="s">
        <v>666</v>
      </c>
      <c r="E546" s="73"/>
      <c r="AA546" t="s">
        <v>377</v>
      </c>
      <c r="AB546" s="73">
        <v>46197</v>
      </c>
      <c r="AE546" t="s">
        <v>684</v>
      </c>
      <c r="AF546" t="s">
        <v>668</v>
      </c>
      <c r="AG546" t="s">
        <v>701</v>
      </c>
      <c r="AI546" t="s">
        <v>688</v>
      </c>
      <c r="AJ546">
        <v>0</v>
      </c>
      <c r="AK546" t="s">
        <v>372</v>
      </c>
      <c r="AP546" t="s">
        <v>374</v>
      </c>
      <c r="AQ546" s="73"/>
      <c r="BR546" s="73"/>
      <c r="CX546" s="73"/>
      <c r="EQ546" s="73"/>
    </row>
    <row r="547" spans="1:209" ht="14.25" customHeight="1" x14ac:dyDescent="0.25">
      <c r="A547" t="s">
        <v>700</v>
      </c>
      <c r="B547" t="s">
        <v>381</v>
      </c>
      <c r="C547">
        <v>1</v>
      </c>
      <c r="D547" t="s">
        <v>666</v>
      </c>
      <c r="E547" s="73"/>
      <c r="AB547" s="73"/>
      <c r="AQ547" s="73">
        <v>46197</v>
      </c>
      <c r="AT547" t="s">
        <v>702</v>
      </c>
      <c r="AU547" t="s">
        <v>385</v>
      </c>
      <c r="AV547" t="s">
        <v>385</v>
      </c>
      <c r="AW547" t="s">
        <v>383</v>
      </c>
      <c r="AX547" t="s">
        <v>385</v>
      </c>
      <c r="AY547" t="s">
        <v>383</v>
      </c>
      <c r="AZ547" t="s">
        <v>383</v>
      </c>
      <c r="BA547" t="s">
        <v>367</v>
      </c>
      <c r="BB547" t="s">
        <v>372</v>
      </c>
      <c r="BC547">
        <v>11</v>
      </c>
      <c r="BD547" t="s">
        <v>374</v>
      </c>
      <c r="BR547" s="73"/>
      <c r="CX547" s="73"/>
      <c r="EQ547" s="73"/>
    </row>
    <row r="548" spans="1:209" ht="14.25" customHeight="1" x14ac:dyDescent="0.25">
      <c r="A548" t="s">
        <v>703</v>
      </c>
      <c r="D548" t="s">
        <v>666</v>
      </c>
      <c r="E548" s="73">
        <v>46197</v>
      </c>
      <c r="H548" t="s">
        <v>368</v>
      </c>
      <c r="I548" t="s">
        <v>368</v>
      </c>
      <c r="J548">
        <v>1980</v>
      </c>
      <c r="K548" t="s">
        <v>369</v>
      </c>
      <c r="L548" t="s">
        <v>370</v>
      </c>
      <c r="M548" t="s">
        <v>371</v>
      </c>
      <c r="N548" t="s">
        <v>371</v>
      </c>
      <c r="O548" t="s">
        <v>371</v>
      </c>
      <c r="P548" t="s">
        <v>371</v>
      </c>
      <c r="Q548" t="s">
        <v>371</v>
      </c>
      <c r="R548" t="s">
        <v>372</v>
      </c>
      <c r="S548" t="s">
        <v>372</v>
      </c>
      <c r="T548" t="s">
        <v>372</v>
      </c>
      <c r="U548" t="s">
        <v>367</v>
      </c>
      <c r="W548" t="s">
        <v>367</v>
      </c>
      <c r="X548" t="s">
        <v>399</v>
      </c>
      <c r="Y548" t="s">
        <v>421</v>
      </c>
      <c r="Z548" t="s">
        <v>374</v>
      </c>
      <c r="AB548" s="73"/>
      <c r="AQ548" s="73"/>
      <c r="BG548" t="s">
        <v>371</v>
      </c>
      <c r="BH548" t="s">
        <v>371</v>
      </c>
      <c r="BI548" t="s">
        <v>371</v>
      </c>
      <c r="BJ548" t="s">
        <v>371</v>
      </c>
      <c r="BK548" t="s">
        <v>371</v>
      </c>
      <c r="BL548" t="s">
        <v>371</v>
      </c>
      <c r="BM548" t="s">
        <v>371</v>
      </c>
      <c r="BN548" t="s">
        <v>371</v>
      </c>
      <c r="BO548" t="s">
        <v>371</v>
      </c>
      <c r="BQ548" t="s">
        <v>375</v>
      </c>
      <c r="BR548" s="73"/>
      <c r="CX548" s="73"/>
      <c r="EQ548" s="73"/>
      <c r="FT548">
        <v>0</v>
      </c>
      <c r="FZ548" t="s">
        <v>371</v>
      </c>
      <c r="GA548" t="s">
        <v>371</v>
      </c>
      <c r="GB548" t="s">
        <v>371</v>
      </c>
      <c r="GC548" t="s">
        <v>371</v>
      </c>
      <c r="GD548" t="s">
        <v>371</v>
      </c>
      <c r="GF548" t="s">
        <v>371</v>
      </c>
      <c r="GG548" t="s">
        <v>371</v>
      </c>
      <c r="GH548" t="s">
        <v>371</v>
      </c>
      <c r="GI548" t="s">
        <v>371</v>
      </c>
      <c r="GJ548" t="s">
        <v>371</v>
      </c>
      <c r="GK548" t="s">
        <v>371</v>
      </c>
      <c r="GN548" t="s">
        <v>371</v>
      </c>
      <c r="GO548" t="s">
        <v>371</v>
      </c>
      <c r="GP548" t="s">
        <v>371</v>
      </c>
      <c r="GQ548" t="s">
        <v>371</v>
      </c>
      <c r="GR548" t="s">
        <v>371</v>
      </c>
      <c r="GS548" t="s">
        <v>371</v>
      </c>
      <c r="GT548" t="s">
        <v>371</v>
      </c>
      <c r="GU548" t="s">
        <v>371</v>
      </c>
      <c r="GV548" t="s">
        <v>371</v>
      </c>
      <c r="GW548" t="s">
        <v>371</v>
      </c>
      <c r="GX548" t="s">
        <v>371</v>
      </c>
      <c r="HA548" t="s">
        <v>375</v>
      </c>
    </row>
    <row r="549" spans="1:209" ht="14.25" customHeight="1" x14ac:dyDescent="0.25">
      <c r="A549" t="s">
        <v>703</v>
      </c>
      <c r="B549" t="s">
        <v>376</v>
      </c>
      <c r="C549">
        <v>1</v>
      </c>
      <c r="D549" t="s">
        <v>666</v>
      </c>
      <c r="E549" s="73"/>
      <c r="AA549" t="s">
        <v>377</v>
      </c>
      <c r="AB549" s="73">
        <v>46197</v>
      </c>
      <c r="AE549" t="s">
        <v>684</v>
      </c>
      <c r="AF549" t="s">
        <v>668</v>
      </c>
      <c r="AG549" t="s">
        <v>685</v>
      </c>
      <c r="AI549" t="s">
        <v>688</v>
      </c>
      <c r="AJ549">
        <v>0</v>
      </c>
      <c r="AK549" t="s">
        <v>372</v>
      </c>
      <c r="AP549" t="s">
        <v>374</v>
      </c>
      <c r="AQ549" s="73"/>
      <c r="BR549" s="73"/>
      <c r="CX549" s="73"/>
      <c r="EQ549" s="73"/>
    </row>
    <row r="550" spans="1:209" ht="14.25" customHeight="1" x14ac:dyDescent="0.25">
      <c r="A550" t="s">
        <v>703</v>
      </c>
      <c r="B550" t="s">
        <v>381</v>
      </c>
      <c r="C550">
        <v>1</v>
      </c>
      <c r="D550" t="s">
        <v>666</v>
      </c>
      <c r="E550" s="73"/>
      <c r="AB550" s="73"/>
      <c r="AQ550" s="73">
        <v>46197</v>
      </c>
      <c r="AT550" t="s">
        <v>677</v>
      </c>
      <c r="AU550" t="s">
        <v>383</v>
      </c>
      <c r="AV550" t="s">
        <v>384</v>
      </c>
      <c r="AW550" t="s">
        <v>383</v>
      </c>
      <c r="AX550" t="s">
        <v>383</v>
      </c>
      <c r="AY550" t="s">
        <v>383</v>
      </c>
      <c r="AZ550" t="s">
        <v>383</v>
      </c>
      <c r="BA550" t="s">
        <v>367</v>
      </c>
      <c r="BB550" t="s">
        <v>367</v>
      </c>
      <c r="BC550">
        <v>5</v>
      </c>
      <c r="BD550" t="s">
        <v>374</v>
      </c>
      <c r="BR550" s="73"/>
      <c r="CX550" s="73"/>
      <c r="EQ550" s="73"/>
    </row>
    <row r="551" spans="1:209" ht="14.25" customHeight="1" x14ac:dyDescent="0.25">
      <c r="A551" t="s">
        <v>704</v>
      </c>
      <c r="D551" t="s">
        <v>666</v>
      </c>
      <c r="E551" s="73">
        <v>46197</v>
      </c>
      <c r="H551" t="s">
        <v>368</v>
      </c>
      <c r="I551" t="s">
        <v>368</v>
      </c>
      <c r="J551">
        <v>1989</v>
      </c>
      <c r="K551" t="s">
        <v>369</v>
      </c>
      <c r="L551" t="s">
        <v>370</v>
      </c>
      <c r="M551" t="s">
        <v>371</v>
      </c>
      <c r="N551" t="s">
        <v>371</v>
      </c>
      <c r="O551" t="s">
        <v>371</v>
      </c>
      <c r="P551" t="s">
        <v>371</v>
      </c>
      <c r="Q551" t="s">
        <v>371</v>
      </c>
      <c r="R551" t="s">
        <v>372</v>
      </c>
      <c r="S551" t="s">
        <v>372</v>
      </c>
      <c r="T551" t="s">
        <v>367</v>
      </c>
      <c r="U551" t="s">
        <v>367</v>
      </c>
      <c r="W551" t="s">
        <v>367</v>
      </c>
      <c r="X551" t="s">
        <v>432</v>
      </c>
      <c r="Y551" t="s">
        <v>396</v>
      </c>
      <c r="Z551" t="s">
        <v>374</v>
      </c>
      <c r="AB551" s="73"/>
      <c r="AQ551" s="73"/>
      <c r="BG551" t="s">
        <v>371</v>
      </c>
      <c r="BH551" t="s">
        <v>371</v>
      </c>
      <c r="BI551" t="s">
        <v>371</v>
      </c>
      <c r="BJ551" t="s">
        <v>371</v>
      </c>
      <c r="BK551" t="s">
        <v>371</v>
      </c>
      <c r="BL551" t="s">
        <v>371</v>
      </c>
      <c r="BM551" t="s">
        <v>371</v>
      </c>
      <c r="BN551" t="s">
        <v>371</v>
      </c>
      <c r="BO551" t="s">
        <v>371</v>
      </c>
      <c r="BQ551" t="s">
        <v>375</v>
      </c>
      <c r="BR551" s="73"/>
      <c r="CX551" s="73"/>
      <c r="EQ551" s="73"/>
      <c r="FT551">
        <v>0</v>
      </c>
      <c r="FZ551" t="s">
        <v>371</v>
      </c>
      <c r="GA551" t="s">
        <v>371</v>
      </c>
      <c r="GB551" t="s">
        <v>371</v>
      </c>
      <c r="GC551" t="s">
        <v>371</v>
      </c>
      <c r="GD551" t="s">
        <v>371</v>
      </c>
      <c r="GF551" t="s">
        <v>371</v>
      </c>
      <c r="GG551" t="s">
        <v>371</v>
      </c>
      <c r="GH551" t="s">
        <v>371</v>
      </c>
      <c r="GI551" t="s">
        <v>371</v>
      </c>
      <c r="GJ551" t="s">
        <v>371</v>
      </c>
      <c r="GK551" t="s">
        <v>371</v>
      </c>
      <c r="GN551" t="s">
        <v>371</v>
      </c>
      <c r="GO551" t="s">
        <v>371</v>
      </c>
      <c r="GP551" t="s">
        <v>371</v>
      </c>
      <c r="GQ551" t="s">
        <v>371</v>
      </c>
      <c r="GR551" t="s">
        <v>371</v>
      </c>
      <c r="GS551" t="s">
        <v>371</v>
      </c>
      <c r="GT551" t="s">
        <v>371</v>
      </c>
      <c r="GU551" t="s">
        <v>371</v>
      </c>
      <c r="GV551" t="s">
        <v>371</v>
      </c>
      <c r="GW551" t="s">
        <v>371</v>
      </c>
      <c r="GX551" t="s">
        <v>371</v>
      </c>
      <c r="HA551" t="s">
        <v>375</v>
      </c>
    </row>
    <row r="552" spans="1:209" ht="14.25" customHeight="1" x14ac:dyDescent="0.25">
      <c r="A552" t="s">
        <v>704</v>
      </c>
      <c r="B552" t="s">
        <v>376</v>
      </c>
      <c r="C552">
        <v>1</v>
      </c>
      <c r="D552" t="s">
        <v>666</v>
      </c>
      <c r="E552" s="73"/>
      <c r="AA552" t="s">
        <v>377</v>
      </c>
      <c r="AB552" s="73">
        <v>46197</v>
      </c>
      <c r="AE552" t="s">
        <v>684</v>
      </c>
      <c r="AF552" t="s">
        <v>668</v>
      </c>
      <c r="AG552" t="s">
        <v>685</v>
      </c>
      <c r="AI552" t="s">
        <v>688</v>
      </c>
      <c r="AJ552">
        <v>0</v>
      </c>
      <c r="AK552" t="s">
        <v>372</v>
      </c>
      <c r="AP552" t="s">
        <v>374</v>
      </c>
      <c r="AQ552" s="73"/>
      <c r="BR552" s="73"/>
      <c r="CX552" s="73"/>
      <c r="EQ552" s="73"/>
    </row>
    <row r="553" spans="1:209" ht="14.25" customHeight="1" x14ac:dyDescent="0.25">
      <c r="A553" t="s">
        <v>704</v>
      </c>
      <c r="B553" t="s">
        <v>381</v>
      </c>
      <c r="C553">
        <v>1</v>
      </c>
      <c r="D553" t="s">
        <v>666</v>
      </c>
      <c r="E553" s="73"/>
      <c r="AB553" s="73"/>
      <c r="AQ553" s="73">
        <v>46197</v>
      </c>
      <c r="AT553" t="s">
        <v>677</v>
      </c>
      <c r="AU553" t="s">
        <v>385</v>
      </c>
      <c r="AV553" t="s">
        <v>385</v>
      </c>
      <c r="AW553" t="s">
        <v>385</v>
      </c>
      <c r="AX553" t="s">
        <v>385</v>
      </c>
      <c r="AY553" t="s">
        <v>385</v>
      </c>
      <c r="AZ553" t="s">
        <v>383</v>
      </c>
      <c r="BA553" t="s">
        <v>367</v>
      </c>
      <c r="BB553" t="s">
        <v>372</v>
      </c>
      <c r="BC553">
        <v>13</v>
      </c>
      <c r="BD553" t="s">
        <v>374</v>
      </c>
      <c r="BR553" s="73"/>
      <c r="CX553" s="73"/>
      <c r="EQ553" s="73"/>
    </row>
    <row r="554" spans="1:209" ht="14.25" customHeight="1" x14ac:dyDescent="0.25">
      <c r="A554" t="s">
        <v>705</v>
      </c>
      <c r="D554" t="s">
        <v>666</v>
      </c>
      <c r="E554" s="73">
        <v>46197</v>
      </c>
      <c r="H554" t="s">
        <v>368</v>
      </c>
      <c r="I554" t="s">
        <v>368</v>
      </c>
      <c r="J554">
        <v>1982</v>
      </c>
      <c r="K554" t="s">
        <v>369</v>
      </c>
      <c r="L554" t="s">
        <v>370</v>
      </c>
      <c r="M554" t="s">
        <v>371</v>
      </c>
      <c r="N554" t="s">
        <v>371</v>
      </c>
      <c r="O554" t="s">
        <v>371</v>
      </c>
      <c r="P554" t="s">
        <v>371</v>
      </c>
      <c r="Q554" t="s">
        <v>371</v>
      </c>
      <c r="R554" t="s">
        <v>372</v>
      </c>
      <c r="S554" t="s">
        <v>372</v>
      </c>
      <c r="T554" t="s">
        <v>367</v>
      </c>
      <c r="U554" t="s">
        <v>367</v>
      </c>
      <c r="W554" t="s">
        <v>367</v>
      </c>
      <c r="X554" t="s">
        <v>373</v>
      </c>
      <c r="Y554" t="s">
        <v>367</v>
      </c>
      <c r="Z554" t="s">
        <v>374</v>
      </c>
      <c r="AB554" s="73"/>
      <c r="AQ554" s="73"/>
      <c r="BG554" t="s">
        <v>371</v>
      </c>
      <c r="BH554" t="s">
        <v>371</v>
      </c>
      <c r="BI554" t="s">
        <v>371</v>
      </c>
      <c r="BJ554" t="s">
        <v>371</v>
      </c>
      <c r="BK554" t="s">
        <v>371</v>
      </c>
      <c r="BL554" t="s">
        <v>371</v>
      </c>
      <c r="BM554" t="s">
        <v>371</v>
      </c>
      <c r="BN554" t="s">
        <v>371</v>
      </c>
      <c r="BO554" t="s">
        <v>371</v>
      </c>
      <c r="BQ554" t="s">
        <v>375</v>
      </c>
      <c r="BR554" s="73"/>
      <c r="CX554" s="73"/>
      <c r="EQ554" s="73"/>
      <c r="FT554">
        <v>0</v>
      </c>
      <c r="FZ554" t="s">
        <v>371</v>
      </c>
      <c r="GA554" t="s">
        <v>371</v>
      </c>
      <c r="GB554" t="s">
        <v>371</v>
      </c>
      <c r="GC554" t="s">
        <v>371</v>
      </c>
      <c r="GD554" t="s">
        <v>371</v>
      </c>
      <c r="GF554" t="s">
        <v>371</v>
      </c>
      <c r="GG554" t="s">
        <v>371</v>
      </c>
      <c r="GH554" t="s">
        <v>371</v>
      </c>
      <c r="GI554" t="s">
        <v>371</v>
      </c>
      <c r="GJ554" t="s">
        <v>371</v>
      </c>
      <c r="GK554" t="s">
        <v>371</v>
      </c>
      <c r="GN554" t="s">
        <v>371</v>
      </c>
      <c r="GO554" t="s">
        <v>371</v>
      </c>
      <c r="GP554" t="s">
        <v>371</v>
      </c>
      <c r="GQ554" t="s">
        <v>371</v>
      </c>
      <c r="GR554" t="s">
        <v>371</v>
      </c>
      <c r="GS554" t="s">
        <v>371</v>
      </c>
      <c r="GT554" t="s">
        <v>371</v>
      </c>
      <c r="GU554" t="s">
        <v>371</v>
      </c>
      <c r="GV554" t="s">
        <v>371</v>
      </c>
      <c r="GW554" t="s">
        <v>371</v>
      </c>
      <c r="GX554" t="s">
        <v>371</v>
      </c>
      <c r="HA554" t="s">
        <v>375</v>
      </c>
    </row>
    <row r="555" spans="1:209" ht="14.25" customHeight="1" x14ac:dyDescent="0.25">
      <c r="A555" t="s">
        <v>705</v>
      </c>
      <c r="B555" t="s">
        <v>376</v>
      </c>
      <c r="C555">
        <v>1</v>
      </c>
      <c r="D555" t="s">
        <v>666</v>
      </c>
      <c r="E555" s="73"/>
      <c r="AA555" t="s">
        <v>377</v>
      </c>
      <c r="AB555" s="73">
        <v>46197</v>
      </c>
      <c r="AE555" t="s">
        <v>684</v>
      </c>
      <c r="AF555" t="s">
        <v>668</v>
      </c>
      <c r="AG555" t="s">
        <v>685</v>
      </c>
      <c r="AI555" t="s">
        <v>688</v>
      </c>
      <c r="AJ555">
        <v>0</v>
      </c>
      <c r="AK555" t="s">
        <v>372</v>
      </c>
      <c r="AP555" t="s">
        <v>374</v>
      </c>
      <c r="AQ555" s="73"/>
      <c r="BR555" s="73"/>
      <c r="CX555" s="73"/>
      <c r="EQ555" s="73"/>
    </row>
    <row r="556" spans="1:209" ht="14.25" customHeight="1" x14ac:dyDescent="0.25">
      <c r="A556" t="s">
        <v>705</v>
      </c>
      <c r="B556" t="s">
        <v>381</v>
      </c>
      <c r="C556">
        <v>1</v>
      </c>
      <c r="D556" t="s">
        <v>666</v>
      </c>
      <c r="E556" s="73"/>
      <c r="AB556" s="73"/>
      <c r="AQ556" s="73">
        <v>46197</v>
      </c>
      <c r="AT556" t="s">
        <v>674</v>
      </c>
      <c r="AU556" t="s">
        <v>383</v>
      </c>
      <c r="AV556" t="s">
        <v>383</v>
      </c>
      <c r="AW556" t="s">
        <v>384</v>
      </c>
      <c r="AX556" t="s">
        <v>383</v>
      </c>
      <c r="AY556" t="s">
        <v>384</v>
      </c>
      <c r="AZ556" t="s">
        <v>383</v>
      </c>
      <c r="BA556" t="s">
        <v>367</v>
      </c>
      <c r="BB556" t="s">
        <v>367</v>
      </c>
      <c r="BC556">
        <v>4</v>
      </c>
      <c r="BD556" t="s">
        <v>374</v>
      </c>
      <c r="BR556" s="73"/>
      <c r="CX556" s="73"/>
      <c r="EQ556" s="73"/>
    </row>
    <row r="557" spans="1:209" ht="14.25" customHeight="1" x14ac:dyDescent="0.25">
      <c r="A557" t="s">
        <v>706</v>
      </c>
      <c r="D557" t="s">
        <v>666</v>
      </c>
      <c r="E557" s="73">
        <v>46197</v>
      </c>
      <c r="H557" t="s">
        <v>368</v>
      </c>
      <c r="I557" t="s">
        <v>368</v>
      </c>
      <c r="J557">
        <v>1980</v>
      </c>
      <c r="K557" t="s">
        <v>369</v>
      </c>
      <c r="L557" t="s">
        <v>370</v>
      </c>
      <c r="M557" t="s">
        <v>371</v>
      </c>
      <c r="N557" t="s">
        <v>371</v>
      </c>
      <c r="O557" t="s">
        <v>371</v>
      </c>
      <c r="P557" t="s">
        <v>371</v>
      </c>
      <c r="Q557" t="s">
        <v>371</v>
      </c>
      <c r="R557" t="s">
        <v>372</v>
      </c>
      <c r="S557" t="s">
        <v>372</v>
      </c>
      <c r="T557" t="s">
        <v>367</v>
      </c>
      <c r="U557" t="s">
        <v>367</v>
      </c>
      <c r="W557" t="s">
        <v>367</v>
      </c>
      <c r="X557" t="s">
        <v>432</v>
      </c>
      <c r="Y557" t="s">
        <v>421</v>
      </c>
      <c r="Z557" t="s">
        <v>374</v>
      </c>
      <c r="AB557" s="73"/>
      <c r="AQ557" s="73"/>
      <c r="BG557" t="s">
        <v>371</v>
      </c>
      <c r="BH557" t="s">
        <v>371</v>
      </c>
      <c r="BI557" t="s">
        <v>371</v>
      </c>
      <c r="BJ557" t="s">
        <v>371</v>
      </c>
      <c r="BK557" t="s">
        <v>371</v>
      </c>
      <c r="BL557" t="s">
        <v>371</v>
      </c>
      <c r="BM557" t="s">
        <v>371</v>
      </c>
      <c r="BN557" t="s">
        <v>371</v>
      </c>
      <c r="BO557" t="s">
        <v>371</v>
      </c>
      <c r="BQ557" t="s">
        <v>375</v>
      </c>
      <c r="BR557" s="73"/>
      <c r="CX557" s="73"/>
      <c r="EQ557" s="73"/>
      <c r="FT557">
        <v>0</v>
      </c>
      <c r="FZ557" t="s">
        <v>371</v>
      </c>
      <c r="GA557" t="s">
        <v>371</v>
      </c>
      <c r="GB557" t="s">
        <v>371</v>
      </c>
      <c r="GC557" t="s">
        <v>371</v>
      </c>
      <c r="GD557" t="s">
        <v>371</v>
      </c>
      <c r="GF557" t="s">
        <v>371</v>
      </c>
      <c r="GG557" t="s">
        <v>371</v>
      </c>
      <c r="GH557" t="s">
        <v>371</v>
      </c>
      <c r="GI557" t="s">
        <v>371</v>
      </c>
      <c r="GJ557" t="s">
        <v>371</v>
      </c>
      <c r="GK557" t="s">
        <v>371</v>
      </c>
      <c r="GN557" t="s">
        <v>371</v>
      </c>
      <c r="GO557" t="s">
        <v>371</v>
      </c>
      <c r="GP557" t="s">
        <v>371</v>
      </c>
      <c r="GQ557" t="s">
        <v>371</v>
      </c>
      <c r="GR557" t="s">
        <v>371</v>
      </c>
      <c r="GS557" t="s">
        <v>371</v>
      </c>
      <c r="GT557" t="s">
        <v>371</v>
      </c>
      <c r="GU557" t="s">
        <v>371</v>
      </c>
      <c r="GV557" t="s">
        <v>371</v>
      </c>
      <c r="GW557" t="s">
        <v>371</v>
      </c>
      <c r="GX557" t="s">
        <v>371</v>
      </c>
      <c r="HA557" t="s">
        <v>375</v>
      </c>
    </row>
    <row r="558" spans="1:209" ht="14.25" customHeight="1" x14ac:dyDescent="0.25">
      <c r="A558" t="s">
        <v>706</v>
      </c>
      <c r="B558" t="s">
        <v>376</v>
      </c>
      <c r="C558">
        <v>1</v>
      </c>
      <c r="D558" t="s">
        <v>666</v>
      </c>
      <c r="E558" s="73"/>
      <c r="AA558" t="s">
        <v>377</v>
      </c>
      <c r="AB558" s="73">
        <v>46197</v>
      </c>
      <c r="AE558" t="s">
        <v>684</v>
      </c>
      <c r="AF558" t="s">
        <v>668</v>
      </c>
      <c r="AG558" t="s">
        <v>685</v>
      </c>
      <c r="AI558" t="s">
        <v>687</v>
      </c>
      <c r="AJ558">
        <v>0</v>
      </c>
      <c r="AK558" t="s">
        <v>372</v>
      </c>
      <c r="AP558" t="s">
        <v>374</v>
      </c>
      <c r="AQ558" s="73"/>
      <c r="BR558" s="73"/>
      <c r="CX558" s="73"/>
      <c r="EQ558" s="73"/>
    </row>
    <row r="559" spans="1:209" ht="14.25" customHeight="1" x14ac:dyDescent="0.25">
      <c r="A559" t="s">
        <v>706</v>
      </c>
      <c r="B559" t="s">
        <v>381</v>
      </c>
      <c r="C559">
        <v>1</v>
      </c>
      <c r="D559" t="s">
        <v>666</v>
      </c>
      <c r="E559" s="73"/>
      <c r="AB559" s="73"/>
      <c r="AQ559" s="73">
        <v>46197</v>
      </c>
      <c r="AT559" t="s">
        <v>674</v>
      </c>
      <c r="AU559" t="s">
        <v>383</v>
      </c>
      <c r="AV559" t="s">
        <v>385</v>
      </c>
      <c r="AW559" t="s">
        <v>383</v>
      </c>
      <c r="AX559" t="s">
        <v>383</v>
      </c>
      <c r="AY559" t="s">
        <v>385</v>
      </c>
      <c r="AZ559" t="s">
        <v>383</v>
      </c>
      <c r="BA559" t="s">
        <v>367</v>
      </c>
      <c r="BB559" t="s">
        <v>367</v>
      </c>
      <c r="BC559">
        <v>8</v>
      </c>
      <c r="BD559" t="s">
        <v>374</v>
      </c>
      <c r="BR559" s="73"/>
      <c r="CX559" s="73"/>
      <c r="EQ559" s="73"/>
    </row>
    <row r="560" spans="1:209" ht="14.25" customHeight="1" x14ac:dyDescent="0.25">
      <c r="A560" t="s">
        <v>707</v>
      </c>
      <c r="D560" t="s">
        <v>666</v>
      </c>
      <c r="E560" s="73">
        <v>46197</v>
      </c>
      <c r="H560" t="s">
        <v>368</v>
      </c>
      <c r="I560" t="s">
        <v>368</v>
      </c>
      <c r="J560">
        <v>1990</v>
      </c>
      <c r="K560" t="s">
        <v>369</v>
      </c>
      <c r="L560" t="s">
        <v>370</v>
      </c>
      <c r="M560" t="s">
        <v>371</v>
      </c>
      <c r="N560" t="s">
        <v>371</v>
      </c>
      <c r="O560" t="s">
        <v>371</v>
      </c>
      <c r="P560" t="s">
        <v>371</v>
      </c>
      <c r="Q560" t="s">
        <v>371</v>
      </c>
      <c r="R560" t="s">
        <v>372</v>
      </c>
      <c r="S560" t="s">
        <v>372</v>
      </c>
      <c r="T560" t="s">
        <v>372</v>
      </c>
      <c r="U560" t="s">
        <v>367</v>
      </c>
      <c r="W560" t="s">
        <v>367</v>
      </c>
      <c r="X560" t="s">
        <v>399</v>
      </c>
      <c r="Y560" t="s">
        <v>421</v>
      </c>
      <c r="Z560" t="s">
        <v>374</v>
      </c>
      <c r="AB560" s="73"/>
      <c r="AQ560" s="73"/>
      <c r="BG560" t="s">
        <v>371</v>
      </c>
      <c r="BH560" t="s">
        <v>371</v>
      </c>
      <c r="BI560" t="s">
        <v>371</v>
      </c>
      <c r="BJ560" t="s">
        <v>371</v>
      </c>
      <c r="BK560" t="s">
        <v>371</v>
      </c>
      <c r="BL560" t="s">
        <v>371</v>
      </c>
      <c r="BM560" t="s">
        <v>371</v>
      </c>
      <c r="BN560" t="s">
        <v>371</v>
      </c>
      <c r="BO560" t="s">
        <v>371</v>
      </c>
      <c r="BQ560" t="s">
        <v>375</v>
      </c>
      <c r="BR560" s="73"/>
      <c r="CX560" s="73"/>
      <c r="EQ560" s="73"/>
      <c r="FT560">
        <v>0</v>
      </c>
      <c r="FZ560" t="s">
        <v>371</v>
      </c>
      <c r="GA560" t="s">
        <v>371</v>
      </c>
      <c r="GB560" t="s">
        <v>371</v>
      </c>
      <c r="GC560" t="s">
        <v>371</v>
      </c>
      <c r="GD560" t="s">
        <v>371</v>
      </c>
      <c r="GF560" t="s">
        <v>371</v>
      </c>
      <c r="GG560" t="s">
        <v>371</v>
      </c>
      <c r="GH560" t="s">
        <v>371</v>
      </c>
      <c r="GI560" t="s">
        <v>371</v>
      </c>
      <c r="GJ560" t="s">
        <v>371</v>
      </c>
      <c r="GK560" t="s">
        <v>371</v>
      </c>
      <c r="GN560" t="s">
        <v>371</v>
      </c>
      <c r="GO560" t="s">
        <v>371</v>
      </c>
      <c r="GP560" t="s">
        <v>371</v>
      </c>
      <c r="GQ560" t="s">
        <v>371</v>
      </c>
      <c r="GR560" t="s">
        <v>371</v>
      </c>
      <c r="GS560" t="s">
        <v>371</v>
      </c>
      <c r="GT560" t="s">
        <v>371</v>
      </c>
      <c r="GU560" t="s">
        <v>371</v>
      </c>
      <c r="GV560" t="s">
        <v>371</v>
      </c>
      <c r="GW560" t="s">
        <v>371</v>
      </c>
      <c r="GX560" t="s">
        <v>371</v>
      </c>
      <c r="HA560" t="s">
        <v>375</v>
      </c>
    </row>
    <row r="561" spans="1:209" ht="14.25" customHeight="1" x14ac:dyDescent="0.25">
      <c r="A561" t="s">
        <v>707</v>
      </c>
      <c r="B561" t="s">
        <v>376</v>
      </c>
      <c r="C561">
        <v>1</v>
      </c>
      <c r="D561" t="s">
        <v>666</v>
      </c>
      <c r="E561" s="73"/>
      <c r="AA561" t="s">
        <v>377</v>
      </c>
      <c r="AB561" s="73">
        <v>46197</v>
      </c>
      <c r="AE561" t="s">
        <v>684</v>
      </c>
      <c r="AF561" t="s">
        <v>668</v>
      </c>
      <c r="AG561" t="s">
        <v>708</v>
      </c>
      <c r="AI561" t="s">
        <v>688</v>
      </c>
      <c r="AJ561">
        <v>0</v>
      </c>
      <c r="AK561" t="s">
        <v>372</v>
      </c>
      <c r="AP561" t="s">
        <v>374</v>
      </c>
      <c r="AQ561" s="73"/>
      <c r="BR561" s="73"/>
      <c r="CX561" s="73"/>
      <c r="EQ561" s="73"/>
    </row>
    <row r="562" spans="1:209" ht="14.25" customHeight="1" x14ac:dyDescent="0.25">
      <c r="A562" t="s">
        <v>707</v>
      </c>
      <c r="B562" t="s">
        <v>381</v>
      </c>
      <c r="C562">
        <v>1</v>
      </c>
      <c r="D562" t="s">
        <v>666</v>
      </c>
      <c r="E562" s="73"/>
      <c r="AB562" s="73"/>
      <c r="AQ562" s="73">
        <v>46197</v>
      </c>
      <c r="AT562" t="s">
        <v>677</v>
      </c>
      <c r="AU562" t="s">
        <v>385</v>
      </c>
      <c r="AV562" t="s">
        <v>383</v>
      </c>
      <c r="AW562" t="s">
        <v>383</v>
      </c>
      <c r="AX562" t="s">
        <v>383</v>
      </c>
      <c r="AY562" t="s">
        <v>385</v>
      </c>
      <c r="AZ562" t="s">
        <v>383</v>
      </c>
      <c r="BA562" t="s">
        <v>367</v>
      </c>
      <c r="BB562" t="s">
        <v>372</v>
      </c>
      <c r="BC562">
        <v>10</v>
      </c>
      <c r="BD562" t="s">
        <v>374</v>
      </c>
      <c r="BR562" s="73"/>
      <c r="CX562" s="73"/>
      <c r="EQ562" s="73"/>
    </row>
    <row r="563" spans="1:209" ht="14.25" customHeight="1" x14ac:dyDescent="0.25">
      <c r="A563" t="s">
        <v>709</v>
      </c>
      <c r="D563" t="s">
        <v>666</v>
      </c>
      <c r="E563" s="73">
        <v>46197</v>
      </c>
      <c r="H563" t="s">
        <v>368</v>
      </c>
      <c r="I563" t="s">
        <v>368</v>
      </c>
      <c r="J563">
        <v>1990</v>
      </c>
      <c r="K563" t="s">
        <v>369</v>
      </c>
      <c r="L563" t="s">
        <v>370</v>
      </c>
      <c r="M563" t="s">
        <v>371</v>
      </c>
      <c r="N563" t="s">
        <v>371</v>
      </c>
      <c r="O563" t="s">
        <v>371</v>
      </c>
      <c r="P563" t="s">
        <v>371</v>
      </c>
      <c r="Q563" t="s">
        <v>371</v>
      </c>
      <c r="R563" t="s">
        <v>372</v>
      </c>
      <c r="S563" t="s">
        <v>372</v>
      </c>
      <c r="T563" t="s">
        <v>372</v>
      </c>
      <c r="U563" t="s">
        <v>367</v>
      </c>
      <c r="W563" t="s">
        <v>367</v>
      </c>
      <c r="X563" t="s">
        <v>399</v>
      </c>
      <c r="Y563" t="s">
        <v>421</v>
      </c>
      <c r="Z563" t="s">
        <v>374</v>
      </c>
      <c r="AB563" s="73"/>
      <c r="AQ563" s="73"/>
      <c r="BG563" t="s">
        <v>371</v>
      </c>
      <c r="BH563" t="s">
        <v>371</v>
      </c>
      <c r="BI563" t="s">
        <v>371</v>
      </c>
      <c r="BJ563" t="s">
        <v>371</v>
      </c>
      <c r="BK563" t="s">
        <v>371</v>
      </c>
      <c r="BL563" t="s">
        <v>371</v>
      </c>
      <c r="BM563" t="s">
        <v>371</v>
      </c>
      <c r="BN563" t="s">
        <v>371</v>
      </c>
      <c r="BO563" t="s">
        <v>371</v>
      </c>
      <c r="BQ563" t="s">
        <v>375</v>
      </c>
      <c r="BR563" s="73"/>
      <c r="CX563" s="73"/>
      <c r="EQ563" s="73"/>
      <c r="FT563">
        <v>0</v>
      </c>
      <c r="FZ563" t="s">
        <v>371</v>
      </c>
      <c r="GA563" t="s">
        <v>371</v>
      </c>
      <c r="GB563" t="s">
        <v>371</v>
      </c>
      <c r="GC563" t="s">
        <v>371</v>
      </c>
      <c r="GD563" t="s">
        <v>371</v>
      </c>
      <c r="GF563" t="s">
        <v>371</v>
      </c>
      <c r="GG563" t="s">
        <v>371</v>
      </c>
      <c r="GH563" t="s">
        <v>371</v>
      </c>
      <c r="GI563" t="s">
        <v>371</v>
      </c>
      <c r="GJ563" t="s">
        <v>371</v>
      </c>
      <c r="GK563" t="s">
        <v>371</v>
      </c>
      <c r="GN563" t="s">
        <v>371</v>
      </c>
      <c r="GO563" t="s">
        <v>371</v>
      </c>
      <c r="GP563" t="s">
        <v>371</v>
      </c>
      <c r="GQ563" t="s">
        <v>371</v>
      </c>
      <c r="GR563" t="s">
        <v>371</v>
      </c>
      <c r="GS563" t="s">
        <v>371</v>
      </c>
      <c r="GT563" t="s">
        <v>371</v>
      </c>
      <c r="GU563" t="s">
        <v>371</v>
      </c>
      <c r="GV563" t="s">
        <v>371</v>
      </c>
      <c r="GW563" t="s">
        <v>371</v>
      </c>
      <c r="GX563" t="s">
        <v>371</v>
      </c>
      <c r="HA563" t="s">
        <v>375</v>
      </c>
    </row>
    <row r="564" spans="1:209" ht="14.25" customHeight="1" x14ac:dyDescent="0.25">
      <c r="A564" t="s">
        <v>709</v>
      </c>
      <c r="B564" t="s">
        <v>376</v>
      </c>
      <c r="C564">
        <v>1</v>
      </c>
      <c r="D564" t="s">
        <v>666</v>
      </c>
      <c r="E564" s="73"/>
      <c r="AA564" t="s">
        <v>377</v>
      </c>
      <c r="AB564" s="73">
        <v>46197</v>
      </c>
      <c r="AE564" t="s">
        <v>684</v>
      </c>
      <c r="AF564" t="s">
        <v>668</v>
      </c>
      <c r="AG564" t="s">
        <v>710</v>
      </c>
      <c r="AI564" t="s">
        <v>688</v>
      </c>
      <c r="AJ564">
        <v>0</v>
      </c>
      <c r="AK564" t="s">
        <v>372</v>
      </c>
      <c r="AP564" t="s">
        <v>374</v>
      </c>
      <c r="AQ564" s="73"/>
      <c r="BR564" s="73"/>
      <c r="CX564" s="73"/>
      <c r="EQ564" s="73"/>
    </row>
    <row r="565" spans="1:209" ht="14.25" customHeight="1" x14ac:dyDescent="0.25">
      <c r="A565" t="s">
        <v>709</v>
      </c>
      <c r="B565" t="s">
        <v>381</v>
      </c>
      <c r="C565">
        <v>1</v>
      </c>
      <c r="D565" t="s">
        <v>666</v>
      </c>
      <c r="E565" s="73"/>
      <c r="AB565" s="73"/>
      <c r="AQ565" s="73">
        <v>46197</v>
      </c>
      <c r="AT565" t="s">
        <v>677</v>
      </c>
      <c r="AU565" t="s">
        <v>383</v>
      </c>
      <c r="AV565" t="s">
        <v>383</v>
      </c>
      <c r="AW565" t="s">
        <v>383</v>
      </c>
      <c r="AX565" t="s">
        <v>384</v>
      </c>
      <c r="AY565" t="s">
        <v>384</v>
      </c>
      <c r="AZ565" t="s">
        <v>383</v>
      </c>
      <c r="BA565" t="s">
        <v>367</v>
      </c>
      <c r="BB565" t="s">
        <v>367</v>
      </c>
      <c r="BC565">
        <v>4</v>
      </c>
      <c r="BD565" t="s">
        <v>374</v>
      </c>
      <c r="BR565" s="73"/>
      <c r="CX565" s="73"/>
      <c r="EQ565" s="73"/>
    </row>
    <row r="566" spans="1:209" ht="14.25" customHeight="1" x14ac:dyDescent="0.25">
      <c r="A566" t="s">
        <v>711</v>
      </c>
      <c r="D566" t="s">
        <v>666</v>
      </c>
      <c r="E566" s="73">
        <v>46197</v>
      </c>
      <c r="H566" t="s">
        <v>368</v>
      </c>
      <c r="I566" t="s">
        <v>368</v>
      </c>
      <c r="J566">
        <v>1985</v>
      </c>
      <c r="K566" t="s">
        <v>369</v>
      </c>
      <c r="L566" t="s">
        <v>370</v>
      </c>
      <c r="M566" t="s">
        <v>371</v>
      </c>
      <c r="N566" t="s">
        <v>371</v>
      </c>
      <c r="O566" t="s">
        <v>371</v>
      </c>
      <c r="P566" t="s">
        <v>371</v>
      </c>
      <c r="Q566" t="s">
        <v>371</v>
      </c>
      <c r="R566" t="s">
        <v>372</v>
      </c>
      <c r="S566" t="s">
        <v>372</v>
      </c>
      <c r="T566" t="s">
        <v>372</v>
      </c>
      <c r="U566" t="s">
        <v>367</v>
      </c>
      <c r="W566" t="s">
        <v>367</v>
      </c>
      <c r="X566" t="s">
        <v>399</v>
      </c>
      <c r="Y566" t="s">
        <v>421</v>
      </c>
      <c r="Z566" t="s">
        <v>374</v>
      </c>
      <c r="AB566" s="73"/>
      <c r="AQ566" s="73"/>
      <c r="BG566" t="s">
        <v>371</v>
      </c>
      <c r="BH566" t="s">
        <v>371</v>
      </c>
      <c r="BI566" t="s">
        <v>371</v>
      </c>
      <c r="BJ566" t="s">
        <v>371</v>
      </c>
      <c r="BK566" t="s">
        <v>371</v>
      </c>
      <c r="BL566" t="s">
        <v>371</v>
      </c>
      <c r="BM566" t="s">
        <v>371</v>
      </c>
      <c r="BN566" t="s">
        <v>371</v>
      </c>
      <c r="BO566" t="s">
        <v>371</v>
      </c>
      <c r="BQ566" t="s">
        <v>375</v>
      </c>
      <c r="BR566" s="73"/>
      <c r="CX566" s="73"/>
      <c r="EQ566" s="73"/>
      <c r="FT566">
        <v>0</v>
      </c>
      <c r="FZ566" t="s">
        <v>371</v>
      </c>
      <c r="GA566" t="s">
        <v>371</v>
      </c>
      <c r="GB566" t="s">
        <v>371</v>
      </c>
      <c r="GC566" t="s">
        <v>371</v>
      </c>
      <c r="GD566" t="s">
        <v>371</v>
      </c>
      <c r="GF566" t="s">
        <v>371</v>
      </c>
      <c r="GG566" t="s">
        <v>371</v>
      </c>
      <c r="GH566" t="s">
        <v>371</v>
      </c>
      <c r="GI566" t="s">
        <v>371</v>
      </c>
      <c r="GJ566" t="s">
        <v>371</v>
      </c>
      <c r="GK566" t="s">
        <v>371</v>
      </c>
      <c r="GN566" t="s">
        <v>371</v>
      </c>
      <c r="GO566" t="s">
        <v>371</v>
      </c>
      <c r="GP566" t="s">
        <v>371</v>
      </c>
      <c r="GQ566" t="s">
        <v>371</v>
      </c>
      <c r="GR566" t="s">
        <v>371</v>
      </c>
      <c r="GS566" t="s">
        <v>371</v>
      </c>
      <c r="GT566" t="s">
        <v>371</v>
      </c>
      <c r="GU566" t="s">
        <v>371</v>
      </c>
      <c r="GV566" t="s">
        <v>371</v>
      </c>
      <c r="GW566" t="s">
        <v>371</v>
      </c>
      <c r="GX566" t="s">
        <v>371</v>
      </c>
      <c r="HA566" t="s">
        <v>375</v>
      </c>
    </row>
    <row r="567" spans="1:209" ht="14.25" customHeight="1" x14ac:dyDescent="0.25">
      <c r="A567" t="s">
        <v>711</v>
      </c>
      <c r="B567" t="s">
        <v>376</v>
      </c>
      <c r="C567">
        <v>1</v>
      </c>
      <c r="D567" t="s">
        <v>666</v>
      </c>
      <c r="E567" s="73"/>
      <c r="AA567" t="s">
        <v>377</v>
      </c>
      <c r="AB567" s="73">
        <v>46197</v>
      </c>
      <c r="AE567" t="s">
        <v>667</v>
      </c>
      <c r="AF567" t="s">
        <v>668</v>
      </c>
      <c r="AG567" t="s">
        <v>687</v>
      </c>
      <c r="AI567" t="s">
        <v>712</v>
      </c>
      <c r="AJ567">
        <v>1</v>
      </c>
      <c r="AK567" t="s">
        <v>372</v>
      </c>
      <c r="AP567" t="s">
        <v>374</v>
      </c>
      <c r="AQ567" s="73"/>
      <c r="BR567" s="73"/>
      <c r="CX567" s="73"/>
      <c r="EQ567" s="73"/>
    </row>
    <row r="568" spans="1:209" ht="14.25" customHeight="1" x14ac:dyDescent="0.25">
      <c r="A568" t="s">
        <v>711</v>
      </c>
      <c r="B568" t="s">
        <v>381</v>
      </c>
      <c r="C568">
        <v>1</v>
      </c>
      <c r="D568" t="s">
        <v>666</v>
      </c>
      <c r="E568" s="73"/>
      <c r="AB568" s="73"/>
      <c r="AQ568" s="73">
        <v>46197</v>
      </c>
      <c r="AT568" t="s">
        <v>677</v>
      </c>
      <c r="AU568" t="s">
        <v>383</v>
      </c>
      <c r="AV568" t="s">
        <v>384</v>
      </c>
      <c r="AW568" t="s">
        <v>385</v>
      </c>
      <c r="AX568" t="s">
        <v>384</v>
      </c>
      <c r="AY568" t="s">
        <v>384</v>
      </c>
      <c r="AZ568" t="s">
        <v>384</v>
      </c>
      <c r="BA568" t="s">
        <v>367</v>
      </c>
      <c r="BB568" t="s">
        <v>367</v>
      </c>
      <c r="BC568">
        <v>3</v>
      </c>
      <c r="BD568" t="s">
        <v>374</v>
      </c>
      <c r="BR568" s="73"/>
      <c r="CX568" s="73"/>
      <c r="EQ568" s="73"/>
    </row>
    <row r="569" spans="1:209" ht="14.25" customHeight="1" x14ac:dyDescent="0.25">
      <c r="A569" t="s">
        <v>713</v>
      </c>
      <c r="D569" t="s">
        <v>666</v>
      </c>
      <c r="E569" s="73">
        <v>46197</v>
      </c>
      <c r="H569" t="s">
        <v>368</v>
      </c>
      <c r="I569" t="s">
        <v>368</v>
      </c>
      <c r="J569">
        <v>1975</v>
      </c>
      <c r="K569" t="s">
        <v>369</v>
      </c>
      <c r="L569" t="s">
        <v>370</v>
      </c>
      <c r="M569" t="s">
        <v>371</v>
      </c>
      <c r="N569" t="s">
        <v>371</v>
      </c>
      <c r="O569" t="s">
        <v>371</v>
      </c>
      <c r="P569" t="s">
        <v>371</v>
      </c>
      <c r="Q569" t="s">
        <v>371</v>
      </c>
      <c r="R569" t="s">
        <v>372</v>
      </c>
      <c r="S569" t="s">
        <v>372</v>
      </c>
      <c r="T569" t="s">
        <v>372</v>
      </c>
      <c r="U569" t="s">
        <v>367</v>
      </c>
      <c r="W569" t="s">
        <v>367</v>
      </c>
      <c r="X569" t="s">
        <v>399</v>
      </c>
      <c r="Y569" t="s">
        <v>421</v>
      </c>
      <c r="Z569" t="s">
        <v>374</v>
      </c>
      <c r="AB569" s="73"/>
      <c r="AQ569" s="73"/>
      <c r="BG569" t="s">
        <v>371</v>
      </c>
      <c r="BH569" t="s">
        <v>371</v>
      </c>
      <c r="BI569" t="s">
        <v>371</v>
      </c>
      <c r="BJ569" t="s">
        <v>371</v>
      </c>
      <c r="BK569" t="s">
        <v>371</v>
      </c>
      <c r="BL569" t="s">
        <v>371</v>
      </c>
      <c r="BM569" t="s">
        <v>371</v>
      </c>
      <c r="BN569" t="s">
        <v>371</v>
      </c>
      <c r="BO569" t="s">
        <v>371</v>
      </c>
      <c r="BQ569" t="s">
        <v>375</v>
      </c>
      <c r="BR569" s="73"/>
      <c r="CX569" s="73"/>
      <c r="EQ569" s="73"/>
      <c r="FT569">
        <v>0</v>
      </c>
      <c r="FZ569" t="s">
        <v>371</v>
      </c>
      <c r="GA569" t="s">
        <v>371</v>
      </c>
      <c r="GB569" t="s">
        <v>371</v>
      </c>
      <c r="GC569" t="s">
        <v>371</v>
      </c>
      <c r="GD569" t="s">
        <v>371</v>
      </c>
      <c r="GF569" t="s">
        <v>371</v>
      </c>
      <c r="GG569" t="s">
        <v>371</v>
      </c>
      <c r="GH569" t="s">
        <v>371</v>
      </c>
      <c r="GI569" t="s">
        <v>371</v>
      </c>
      <c r="GJ569" t="s">
        <v>371</v>
      </c>
      <c r="GK569" t="s">
        <v>371</v>
      </c>
      <c r="GN569" t="s">
        <v>371</v>
      </c>
      <c r="GO569" t="s">
        <v>371</v>
      </c>
      <c r="GP569" t="s">
        <v>371</v>
      </c>
      <c r="GQ569" t="s">
        <v>371</v>
      </c>
      <c r="GR569" t="s">
        <v>371</v>
      </c>
      <c r="GS569" t="s">
        <v>371</v>
      </c>
      <c r="GT569" t="s">
        <v>371</v>
      </c>
      <c r="GU569" t="s">
        <v>371</v>
      </c>
      <c r="GV569" t="s">
        <v>371</v>
      </c>
      <c r="GW569" t="s">
        <v>371</v>
      </c>
      <c r="GX569" t="s">
        <v>371</v>
      </c>
      <c r="HA569" t="s">
        <v>375</v>
      </c>
    </row>
    <row r="570" spans="1:209" ht="14.25" customHeight="1" x14ac:dyDescent="0.25">
      <c r="A570" t="s">
        <v>713</v>
      </c>
      <c r="B570" t="s">
        <v>376</v>
      </c>
      <c r="C570">
        <v>1</v>
      </c>
      <c r="D570" t="s">
        <v>666</v>
      </c>
      <c r="E570" s="73"/>
      <c r="AA570" t="s">
        <v>377</v>
      </c>
      <c r="AB570" s="73">
        <v>46197</v>
      </c>
      <c r="AE570" t="s">
        <v>667</v>
      </c>
      <c r="AF570" t="s">
        <v>668</v>
      </c>
      <c r="AG570" t="s">
        <v>687</v>
      </c>
      <c r="AI570" t="s">
        <v>688</v>
      </c>
      <c r="AJ570">
        <v>1</v>
      </c>
      <c r="AK570" t="s">
        <v>372</v>
      </c>
      <c r="AP570" t="s">
        <v>374</v>
      </c>
      <c r="AQ570" s="73"/>
      <c r="BR570" s="73"/>
      <c r="CX570" s="73"/>
      <c r="EQ570" s="73"/>
    </row>
    <row r="571" spans="1:209" ht="14.25" customHeight="1" x14ac:dyDescent="0.25">
      <c r="A571" t="s">
        <v>713</v>
      </c>
      <c r="B571" t="s">
        <v>381</v>
      </c>
      <c r="C571">
        <v>1</v>
      </c>
      <c r="D571" t="s">
        <v>666</v>
      </c>
      <c r="E571" s="73"/>
      <c r="AB571" s="73"/>
      <c r="AQ571" s="73">
        <v>46197</v>
      </c>
      <c r="AT571" t="s">
        <v>677</v>
      </c>
      <c r="AU571" t="s">
        <v>383</v>
      </c>
      <c r="AV571" t="s">
        <v>384</v>
      </c>
      <c r="AW571" t="s">
        <v>383</v>
      </c>
      <c r="AX571" t="s">
        <v>383</v>
      </c>
      <c r="AY571" t="s">
        <v>384</v>
      </c>
      <c r="AZ571" t="s">
        <v>384</v>
      </c>
      <c r="BA571" t="s">
        <v>367</v>
      </c>
      <c r="BB571" t="s">
        <v>367</v>
      </c>
      <c r="BC571">
        <v>3</v>
      </c>
      <c r="BD571" t="s">
        <v>374</v>
      </c>
      <c r="BR571" s="73"/>
      <c r="CX571" s="73"/>
      <c r="EQ571" s="73"/>
    </row>
    <row r="572" spans="1:209" ht="14.25" customHeight="1" x14ac:dyDescent="0.25">
      <c r="A572" t="s">
        <v>714</v>
      </c>
      <c r="D572" t="s">
        <v>666</v>
      </c>
      <c r="E572" s="73">
        <v>46197</v>
      </c>
      <c r="H572" t="s">
        <v>368</v>
      </c>
      <c r="I572" t="s">
        <v>368</v>
      </c>
      <c r="J572">
        <v>1975</v>
      </c>
      <c r="K572" t="s">
        <v>369</v>
      </c>
      <c r="L572" t="s">
        <v>370</v>
      </c>
      <c r="M572" t="s">
        <v>371</v>
      </c>
      <c r="N572" t="s">
        <v>371</v>
      </c>
      <c r="O572" t="s">
        <v>371</v>
      </c>
      <c r="P572" t="s">
        <v>371</v>
      </c>
      <c r="Q572" t="s">
        <v>371</v>
      </c>
      <c r="R572" t="s">
        <v>372</v>
      </c>
      <c r="S572" t="s">
        <v>372</v>
      </c>
      <c r="T572" t="s">
        <v>372</v>
      </c>
      <c r="U572" t="s">
        <v>367</v>
      </c>
      <c r="W572" t="s">
        <v>367</v>
      </c>
      <c r="X572" t="s">
        <v>399</v>
      </c>
      <c r="Y572" t="s">
        <v>421</v>
      </c>
      <c r="Z572" t="s">
        <v>374</v>
      </c>
      <c r="AB572" s="73"/>
      <c r="AQ572" s="73"/>
      <c r="BG572" t="s">
        <v>371</v>
      </c>
      <c r="BH572" t="s">
        <v>371</v>
      </c>
      <c r="BI572" t="s">
        <v>371</v>
      </c>
      <c r="BJ572" t="s">
        <v>371</v>
      </c>
      <c r="BK572" t="s">
        <v>371</v>
      </c>
      <c r="BL572" t="s">
        <v>371</v>
      </c>
      <c r="BM572" t="s">
        <v>371</v>
      </c>
      <c r="BN572" t="s">
        <v>371</v>
      </c>
      <c r="BO572" t="s">
        <v>371</v>
      </c>
      <c r="BQ572" t="s">
        <v>375</v>
      </c>
      <c r="BR572" s="73"/>
      <c r="CX572" s="73"/>
      <c r="EQ572" s="73"/>
      <c r="FT572">
        <v>0</v>
      </c>
      <c r="FZ572" t="s">
        <v>371</v>
      </c>
      <c r="GA572" t="s">
        <v>371</v>
      </c>
      <c r="GB572" t="s">
        <v>371</v>
      </c>
      <c r="GC572" t="s">
        <v>371</v>
      </c>
      <c r="GD572" t="s">
        <v>371</v>
      </c>
      <c r="GF572" t="s">
        <v>371</v>
      </c>
      <c r="GG572" t="s">
        <v>371</v>
      </c>
      <c r="GH572" t="s">
        <v>371</v>
      </c>
      <c r="GI572" t="s">
        <v>371</v>
      </c>
      <c r="GJ572" t="s">
        <v>371</v>
      </c>
      <c r="GK572" t="s">
        <v>371</v>
      </c>
      <c r="GN572" t="s">
        <v>371</v>
      </c>
      <c r="GO572" t="s">
        <v>371</v>
      </c>
      <c r="GP572" t="s">
        <v>371</v>
      </c>
      <c r="GQ572" t="s">
        <v>371</v>
      </c>
      <c r="GR572" t="s">
        <v>371</v>
      </c>
      <c r="GS572" t="s">
        <v>371</v>
      </c>
      <c r="GT572" t="s">
        <v>371</v>
      </c>
      <c r="GU572" t="s">
        <v>371</v>
      </c>
      <c r="GV572" t="s">
        <v>371</v>
      </c>
      <c r="GW572" t="s">
        <v>371</v>
      </c>
      <c r="GX572" t="s">
        <v>371</v>
      </c>
      <c r="HA572" t="s">
        <v>375</v>
      </c>
    </row>
    <row r="573" spans="1:209" ht="14.25" customHeight="1" x14ac:dyDescent="0.25">
      <c r="A573" t="s">
        <v>714</v>
      </c>
      <c r="B573" t="s">
        <v>376</v>
      </c>
      <c r="C573">
        <v>1</v>
      </c>
      <c r="D573" t="s">
        <v>666</v>
      </c>
      <c r="E573" s="73"/>
      <c r="AA573" t="s">
        <v>377</v>
      </c>
      <c r="AB573" s="73">
        <v>46197</v>
      </c>
      <c r="AE573" t="s">
        <v>667</v>
      </c>
      <c r="AF573" t="s">
        <v>668</v>
      </c>
      <c r="AG573" t="s">
        <v>687</v>
      </c>
      <c r="AI573" t="s">
        <v>688</v>
      </c>
      <c r="AJ573">
        <v>1</v>
      </c>
      <c r="AK573" t="s">
        <v>372</v>
      </c>
      <c r="AP573" t="s">
        <v>374</v>
      </c>
      <c r="AQ573" s="73"/>
      <c r="BR573" s="73"/>
      <c r="CX573" s="73"/>
      <c r="EQ573" s="73"/>
    </row>
    <row r="574" spans="1:209" ht="14.25" customHeight="1" x14ac:dyDescent="0.25">
      <c r="A574" t="s">
        <v>714</v>
      </c>
      <c r="B574" t="s">
        <v>381</v>
      </c>
      <c r="C574">
        <v>1</v>
      </c>
      <c r="D574" t="s">
        <v>666</v>
      </c>
      <c r="E574" s="73"/>
      <c r="AB574" s="73"/>
      <c r="AQ574" s="73">
        <v>46197</v>
      </c>
      <c r="AT574" t="s">
        <v>702</v>
      </c>
      <c r="AU574" t="s">
        <v>384</v>
      </c>
      <c r="AV574" t="s">
        <v>383</v>
      </c>
      <c r="AW574" t="s">
        <v>383</v>
      </c>
      <c r="AX574" t="s">
        <v>384</v>
      </c>
      <c r="AY574" t="s">
        <v>384</v>
      </c>
      <c r="AZ574" t="s">
        <v>384</v>
      </c>
      <c r="BA574" t="s">
        <v>367</v>
      </c>
      <c r="BB574" t="s">
        <v>367</v>
      </c>
      <c r="BC574">
        <v>2</v>
      </c>
      <c r="BD574" t="s">
        <v>374</v>
      </c>
      <c r="BR574" s="73"/>
      <c r="CX574" s="73"/>
      <c r="EQ574" s="73"/>
    </row>
    <row r="575" spans="1:209" ht="14.25" customHeight="1" x14ac:dyDescent="0.25">
      <c r="A575" t="s">
        <v>715</v>
      </c>
      <c r="D575" t="s">
        <v>666</v>
      </c>
      <c r="E575" s="73">
        <v>46197</v>
      </c>
      <c r="H575" t="s">
        <v>368</v>
      </c>
      <c r="I575" t="s">
        <v>368</v>
      </c>
      <c r="J575">
        <v>1974</v>
      </c>
      <c r="K575" t="s">
        <v>369</v>
      </c>
      <c r="L575" t="s">
        <v>370</v>
      </c>
      <c r="M575" t="s">
        <v>371</v>
      </c>
      <c r="N575" t="s">
        <v>371</v>
      </c>
      <c r="O575" t="s">
        <v>371</v>
      </c>
      <c r="P575" t="s">
        <v>371</v>
      </c>
      <c r="Q575" t="s">
        <v>371</v>
      </c>
      <c r="R575" t="s">
        <v>372</v>
      </c>
      <c r="S575" t="s">
        <v>372</v>
      </c>
      <c r="T575" t="s">
        <v>372</v>
      </c>
      <c r="U575" t="s">
        <v>367</v>
      </c>
      <c r="W575" t="s">
        <v>367</v>
      </c>
      <c r="X575" t="s">
        <v>432</v>
      </c>
      <c r="Y575" t="s">
        <v>421</v>
      </c>
      <c r="Z575" t="s">
        <v>374</v>
      </c>
      <c r="AB575" s="73"/>
      <c r="AQ575" s="73"/>
      <c r="BG575" t="s">
        <v>371</v>
      </c>
      <c r="BH575" t="s">
        <v>371</v>
      </c>
      <c r="BI575" t="s">
        <v>371</v>
      </c>
      <c r="BJ575" t="s">
        <v>371</v>
      </c>
      <c r="BK575" t="s">
        <v>371</v>
      </c>
      <c r="BL575" t="s">
        <v>371</v>
      </c>
      <c r="BM575" t="s">
        <v>371</v>
      </c>
      <c r="BN575" t="s">
        <v>371</v>
      </c>
      <c r="BO575" t="s">
        <v>371</v>
      </c>
      <c r="BQ575" t="s">
        <v>375</v>
      </c>
      <c r="BR575" s="73"/>
      <c r="CX575" s="73"/>
      <c r="EQ575" s="73"/>
      <c r="FT575">
        <v>0</v>
      </c>
      <c r="FZ575" t="s">
        <v>371</v>
      </c>
      <c r="GA575" t="s">
        <v>371</v>
      </c>
      <c r="GB575" t="s">
        <v>371</v>
      </c>
      <c r="GC575" t="s">
        <v>371</v>
      </c>
      <c r="GD575" t="s">
        <v>371</v>
      </c>
      <c r="GF575" t="s">
        <v>371</v>
      </c>
      <c r="GG575" t="s">
        <v>371</v>
      </c>
      <c r="GH575" t="s">
        <v>371</v>
      </c>
      <c r="GI575" t="s">
        <v>371</v>
      </c>
      <c r="GJ575" t="s">
        <v>371</v>
      </c>
      <c r="GK575" t="s">
        <v>371</v>
      </c>
      <c r="GN575" t="s">
        <v>371</v>
      </c>
      <c r="GO575" t="s">
        <v>371</v>
      </c>
      <c r="GP575" t="s">
        <v>371</v>
      </c>
      <c r="GQ575" t="s">
        <v>371</v>
      </c>
      <c r="GR575" t="s">
        <v>371</v>
      </c>
      <c r="GS575" t="s">
        <v>371</v>
      </c>
      <c r="GT575" t="s">
        <v>371</v>
      </c>
      <c r="GU575" t="s">
        <v>371</v>
      </c>
      <c r="GV575" t="s">
        <v>371</v>
      </c>
      <c r="GW575" t="s">
        <v>371</v>
      </c>
      <c r="GX575" t="s">
        <v>371</v>
      </c>
      <c r="HA575" t="s">
        <v>375</v>
      </c>
    </row>
    <row r="576" spans="1:209" ht="14.25" customHeight="1" x14ac:dyDescent="0.25">
      <c r="A576" t="s">
        <v>715</v>
      </c>
      <c r="B576" t="s">
        <v>376</v>
      </c>
      <c r="C576">
        <v>1</v>
      </c>
      <c r="D576" t="s">
        <v>666</v>
      </c>
      <c r="E576" s="73"/>
      <c r="AA576" t="s">
        <v>377</v>
      </c>
      <c r="AB576" s="73">
        <v>46197</v>
      </c>
      <c r="AE576" t="s">
        <v>667</v>
      </c>
      <c r="AF576" t="s">
        <v>668</v>
      </c>
      <c r="AG576" t="s">
        <v>687</v>
      </c>
      <c r="AI576" t="s">
        <v>688</v>
      </c>
      <c r="AJ576">
        <v>1</v>
      </c>
      <c r="AK576" t="s">
        <v>372</v>
      </c>
      <c r="AP576" t="s">
        <v>374</v>
      </c>
      <c r="AQ576" s="73"/>
      <c r="BR576" s="73"/>
      <c r="CX576" s="73"/>
      <c r="EQ576" s="73"/>
    </row>
    <row r="577" spans="1:209" ht="14.25" customHeight="1" x14ac:dyDescent="0.25">
      <c r="A577" t="s">
        <v>715</v>
      </c>
      <c r="B577" t="s">
        <v>381</v>
      </c>
      <c r="C577">
        <v>1</v>
      </c>
      <c r="D577" t="s">
        <v>666</v>
      </c>
      <c r="E577" s="73"/>
      <c r="AB577" s="73"/>
      <c r="AQ577" s="73">
        <v>46197</v>
      </c>
      <c r="AT577" t="s">
        <v>674</v>
      </c>
      <c r="AU577" t="s">
        <v>383</v>
      </c>
      <c r="AV577" t="s">
        <v>383</v>
      </c>
      <c r="AW577" t="s">
        <v>384</v>
      </c>
      <c r="AX577" t="s">
        <v>383</v>
      </c>
      <c r="AY577" t="s">
        <v>384</v>
      </c>
      <c r="AZ577" t="s">
        <v>384</v>
      </c>
      <c r="BA577" t="s">
        <v>367</v>
      </c>
      <c r="BB577" t="s">
        <v>367</v>
      </c>
      <c r="BC577">
        <v>3</v>
      </c>
      <c r="BD577" t="s">
        <v>374</v>
      </c>
      <c r="BR577" s="73"/>
      <c r="CX577" s="73"/>
      <c r="EQ577" s="73"/>
    </row>
    <row r="578" spans="1:209" ht="14.25" customHeight="1" x14ac:dyDescent="0.25">
      <c r="A578" t="s">
        <v>716</v>
      </c>
      <c r="D578" t="s">
        <v>666</v>
      </c>
      <c r="E578" s="73">
        <v>46197</v>
      </c>
      <c r="H578" t="s">
        <v>368</v>
      </c>
      <c r="I578" t="s">
        <v>368</v>
      </c>
      <c r="J578">
        <v>1984</v>
      </c>
      <c r="K578" t="s">
        <v>369</v>
      </c>
      <c r="L578" t="s">
        <v>370</v>
      </c>
      <c r="M578" t="s">
        <v>371</v>
      </c>
      <c r="N578" t="s">
        <v>371</v>
      </c>
      <c r="O578" t="s">
        <v>371</v>
      </c>
      <c r="P578" t="s">
        <v>371</v>
      </c>
      <c r="Q578" t="s">
        <v>371</v>
      </c>
      <c r="R578" t="s">
        <v>372</v>
      </c>
      <c r="S578" t="s">
        <v>372</v>
      </c>
      <c r="T578" t="s">
        <v>372</v>
      </c>
      <c r="U578" t="s">
        <v>372</v>
      </c>
      <c r="V578" t="s">
        <v>367</v>
      </c>
      <c r="W578" t="s">
        <v>367</v>
      </c>
      <c r="X578" t="s">
        <v>399</v>
      </c>
      <c r="Y578" t="s">
        <v>396</v>
      </c>
      <c r="Z578" t="s">
        <v>374</v>
      </c>
      <c r="AB578" s="73"/>
      <c r="AQ578" s="73"/>
      <c r="BG578" t="s">
        <v>371</v>
      </c>
      <c r="BH578" t="s">
        <v>371</v>
      </c>
      <c r="BI578" t="s">
        <v>371</v>
      </c>
      <c r="BJ578" t="s">
        <v>371</v>
      </c>
      <c r="BK578" t="s">
        <v>371</v>
      </c>
      <c r="BL578" t="s">
        <v>371</v>
      </c>
      <c r="BM578" t="s">
        <v>371</v>
      </c>
      <c r="BN578" t="s">
        <v>371</v>
      </c>
      <c r="BO578" t="s">
        <v>371</v>
      </c>
      <c r="BQ578" t="s">
        <v>375</v>
      </c>
      <c r="BR578" s="73"/>
      <c r="CX578" s="73"/>
      <c r="EQ578" s="73"/>
      <c r="FT578">
        <v>0</v>
      </c>
      <c r="FZ578" t="s">
        <v>371</v>
      </c>
      <c r="GA578" t="s">
        <v>371</v>
      </c>
      <c r="GB578" t="s">
        <v>371</v>
      </c>
      <c r="GC578" t="s">
        <v>371</v>
      </c>
      <c r="GD578" t="s">
        <v>371</v>
      </c>
      <c r="GF578" t="s">
        <v>371</v>
      </c>
      <c r="GG578" t="s">
        <v>371</v>
      </c>
      <c r="GH578" t="s">
        <v>371</v>
      </c>
      <c r="GI578" t="s">
        <v>371</v>
      </c>
      <c r="GJ578" t="s">
        <v>371</v>
      </c>
      <c r="GK578" t="s">
        <v>371</v>
      </c>
      <c r="GN578" t="s">
        <v>371</v>
      </c>
      <c r="GO578" t="s">
        <v>371</v>
      </c>
      <c r="GP578" t="s">
        <v>371</v>
      </c>
      <c r="GQ578" t="s">
        <v>371</v>
      </c>
      <c r="GR578" t="s">
        <v>371</v>
      </c>
      <c r="GS578" t="s">
        <v>371</v>
      </c>
      <c r="GT578" t="s">
        <v>371</v>
      </c>
      <c r="GU578" t="s">
        <v>371</v>
      </c>
      <c r="GV578" t="s">
        <v>371</v>
      </c>
      <c r="GW578" t="s">
        <v>371</v>
      </c>
      <c r="GX578" t="s">
        <v>371</v>
      </c>
      <c r="HA578" t="s">
        <v>375</v>
      </c>
    </row>
    <row r="579" spans="1:209" ht="14.25" customHeight="1" x14ac:dyDescent="0.25">
      <c r="A579" t="s">
        <v>716</v>
      </c>
      <c r="B579" t="s">
        <v>376</v>
      </c>
      <c r="C579">
        <v>1</v>
      </c>
      <c r="D579" t="s">
        <v>666</v>
      </c>
      <c r="E579" s="73"/>
      <c r="AA579" t="s">
        <v>377</v>
      </c>
      <c r="AB579" s="73">
        <v>46197</v>
      </c>
      <c r="AE579" t="s">
        <v>667</v>
      </c>
      <c r="AF579" t="s">
        <v>668</v>
      </c>
      <c r="AG579" t="s">
        <v>687</v>
      </c>
      <c r="AI579" t="s">
        <v>688</v>
      </c>
      <c r="AJ579">
        <v>1</v>
      </c>
      <c r="AK579" t="s">
        <v>372</v>
      </c>
      <c r="AP579" t="s">
        <v>374</v>
      </c>
      <c r="AQ579" s="73"/>
      <c r="BR579" s="73"/>
      <c r="CX579" s="73"/>
      <c r="EQ579" s="73"/>
    </row>
    <row r="580" spans="1:209" ht="14.25" customHeight="1" x14ac:dyDescent="0.25">
      <c r="A580" t="s">
        <v>716</v>
      </c>
      <c r="B580" t="s">
        <v>381</v>
      </c>
      <c r="C580">
        <v>1</v>
      </c>
      <c r="D580" t="s">
        <v>666</v>
      </c>
      <c r="E580" s="73"/>
      <c r="AB580" s="73"/>
      <c r="AQ580" s="73">
        <v>46197</v>
      </c>
      <c r="AT580" t="s">
        <v>702</v>
      </c>
      <c r="AU580" t="s">
        <v>384</v>
      </c>
      <c r="AV580" t="s">
        <v>383</v>
      </c>
      <c r="AW580" t="s">
        <v>384</v>
      </c>
      <c r="AX580" t="s">
        <v>383</v>
      </c>
      <c r="AY580" t="s">
        <v>384</v>
      </c>
      <c r="AZ580" t="s">
        <v>384</v>
      </c>
      <c r="BA580" t="s">
        <v>367</v>
      </c>
      <c r="BB580" t="s">
        <v>367</v>
      </c>
      <c r="BC580">
        <v>2</v>
      </c>
      <c r="BD580" t="s">
        <v>374</v>
      </c>
      <c r="BR580" s="73"/>
      <c r="CX580" s="73"/>
      <c r="EQ580" s="73"/>
    </row>
    <row r="581" spans="1:209" ht="14.25" customHeight="1" x14ac:dyDescent="0.25">
      <c r="A581" t="s">
        <v>717</v>
      </c>
      <c r="D581" t="s">
        <v>666</v>
      </c>
      <c r="E581" s="73">
        <v>46197</v>
      </c>
      <c r="H581" t="s">
        <v>368</v>
      </c>
      <c r="I581" t="s">
        <v>368</v>
      </c>
      <c r="J581">
        <v>1955</v>
      </c>
      <c r="K581" t="s">
        <v>369</v>
      </c>
      <c r="L581" t="s">
        <v>370</v>
      </c>
      <c r="M581" t="s">
        <v>371</v>
      </c>
      <c r="N581" t="s">
        <v>371</v>
      </c>
      <c r="O581" t="s">
        <v>371</v>
      </c>
      <c r="P581" t="s">
        <v>371</v>
      </c>
      <c r="Q581" t="s">
        <v>371</v>
      </c>
      <c r="R581" t="s">
        <v>372</v>
      </c>
      <c r="S581" t="s">
        <v>372</v>
      </c>
      <c r="T581" t="s">
        <v>372</v>
      </c>
      <c r="U581" t="s">
        <v>367</v>
      </c>
      <c r="W581" t="s">
        <v>367</v>
      </c>
      <c r="X581" t="s">
        <v>399</v>
      </c>
      <c r="Y581" t="s">
        <v>421</v>
      </c>
      <c r="Z581" t="s">
        <v>374</v>
      </c>
      <c r="AB581" s="73"/>
      <c r="AQ581" s="73"/>
      <c r="BG581" t="s">
        <v>371</v>
      </c>
      <c r="BH581" t="s">
        <v>371</v>
      </c>
      <c r="BI581" t="s">
        <v>371</v>
      </c>
      <c r="BJ581" t="s">
        <v>371</v>
      </c>
      <c r="BK581" t="s">
        <v>371</v>
      </c>
      <c r="BL581" t="s">
        <v>371</v>
      </c>
      <c r="BM581" t="s">
        <v>371</v>
      </c>
      <c r="BN581" t="s">
        <v>371</v>
      </c>
      <c r="BO581" t="s">
        <v>371</v>
      </c>
      <c r="BQ581" t="s">
        <v>375</v>
      </c>
      <c r="BR581" s="73"/>
      <c r="CX581" s="73"/>
      <c r="EQ581" s="73"/>
      <c r="FT581">
        <v>0</v>
      </c>
      <c r="FZ581" t="s">
        <v>371</v>
      </c>
      <c r="GA581" t="s">
        <v>371</v>
      </c>
      <c r="GB581" t="s">
        <v>371</v>
      </c>
      <c r="GC581" t="s">
        <v>371</v>
      </c>
      <c r="GD581" t="s">
        <v>371</v>
      </c>
      <c r="GF581" t="s">
        <v>371</v>
      </c>
      <c r="GG581" t="s">
        <v>371</v>
      </c>
      <c r="GH581" t="s">
        <v>371</v>
      </c>
      <c r="GI581" t="s">
        <v>371</v>
      </c>
      <c r="GJ581" t="s">
        <v>371</v>
      </c>
      <c r="GK581" t="s">
        <v>371</v>
      </c>
      <c r="GN581" t="s">
        <v>371</v>
      </c>
      <c r="GO581" t="s">
        <v>371</v>
      </c>
      <c r="GP581" t="s">
        <v>371</v>
      </c>
      <c r="GQ581" t="s">
        <v>371</v>
      </c>
      <c r="GR581" t="s">
        <v>371</v>
      </c>
      <c r="GS581" t="s">
        <v>371</v>
      </c>
      <c r="GT581" t="s">
        <v>371</v>
      </c>
      <c r="GU581" t="s">
        <v>371</v>
      </c>
      <c r="GV581" t="s">
        <v>371</v>
      </c>
      <c r="GW581" t="s">
        <v>371</v>
      </c>
      <c r="GX581" t="s">
        <v>371</v>
      </c>
      <c r="HA581" t="s">
        <v>375</v>
      </c>
    </row>
    <row r="582" spans="1:209" ht="14.25" customHeight="1" x14ac:dyDescent="0.25">
      <c r="A582" t="s">
        <v>717</v>
      </c>
      <c r="B582" t="s">
        <v>376</v>
      </c>
      <c r="C582">
        <v>1</v>
      </c>
      <c r="D582" t="s">
        <v>666</v>
      </c>
      <c r="E582" s="73"/>
      <c r="AA582" t="s">
        <v>377</v>
      </c>
      <c r="AB582" s="73">
        <v>46197</v>
      </c>
      <c r="AE582" t="s">
        <v>667</v>
      </c>
      <c r="AF582" t="s">
        <v>668</v>
      </c>
      <c r="AG582" t="s">
        <v>718</v>
      </c>
      <c r="AI582" t="s">
        <v>400</v>
      </c>
      <c r="AJ582">
        <v>1</v>
      </c>
      <c r="AK582" t="s">
        <v>372</v>
      </c>
      <c r="AP582" t="s">
        <v>374</v>
      </c>
      <c r="AQ582" s="73"/>
      <c r="BR582" s="73"/>
      <c r="CX582" s="73"/>
      <c r="EQ582" s="73"/>
    </row>
    <row r="583" spans="1:209" ht="14.25" customHeight="1" x14ac:dyDescent="0.25">
      <c r="A583" t="s">
        <v>717</v>
      </c>
      <c r="B583" t="s">
        <v>381</v>
      </c>
      <c r="C583">
        <v>1</v>
      </c>
      <c r="D583" t="s">
        <v>666</v>
      </c>
      <c r="E583" s="73"/>
      <c r="AB583" s="73"/>
      <c r="AQ583" s="73">
        <v>46197</v>
      </c>
      <c r="AT583" t="s">
        <v>677</v>
      </c>
      <c r="AU583" t="s">
        <v>384</v>
      </c>
      <c r="AV583" t="s">
        <v>383</v>
      </c>
      <c r="AW583" t="s">
        <v>384</v>
      </c>
      <c r="AX583" t="s">
        <v>384</v>
      </c>
      <c r="AY583" t="s">
        <v>384</v>
      </c>
      <c r="AZ583" t="s">
        <v>383</v>
      </c>
      <c r="BA583" t="s">
        <v>367</v>
      </c>
      <c r="BB583" t="s">
        <v>367</v>
      </c>
      <c r="BC583">
        <v>2</v>
      </c>
      <c r="BD583" t="s">
        <v>374</v>
      </c>
      <c r="BR583" s="73"/>
      <c r="CX583" s="73"/>
      <c r="EQ583" s="73"/>
    </row>
    <row r="584" spans="1:209" ht="14.25" customHeight="1" x14ac:dyDescent="0.25">
      <c r="A584" t="s">
        <v>719</v>
      </c>
      <c r="D584" t="s">
        <v>666</v>
      </c>
      <c r="E584" s="73">
        <v>46197</v>
      </c>
      <c r="H584" t="s">
        <v>368</v>
      </c>
      <c r="I584" t="s">
        <v>368</v>
      </c>
      <c r="J584">
        <v>1989</v>
      </c>
      <c r="K584" t="s">
        <v>369</v>
      </c>
      <c r="L584" t="s">
        <v>370</v>
      </c>
      <c r="M584" t="s">
        <v>371</v>
      </c>
      <c r="N584" t="s">
        <v>371</v>
      </c>
      <c r="O584" t="s">
        <v>371</v>
      </c>
      <c r="P584" t="s">
        <v>371</v>
      </c>
      <c r="Q584" t="s">
        <v>371</v>
      </c>
      <c r="R584" t="s">
        <v>372</v>
      </c>
      <c r="S584" t="s">
        <v>372</v>
      </c>
      <c r="T584" t="s">
        <v>372</v>
      </c>
      <c r="U584" t="s">
        <v>367</v>
      </c>
      <c r="W584" t="s">
        <v>367</v>
      </c>
      <c r="X584" t="s">
        <v>373</v>
      </c>
      <c r="Y584" t="s">
        <v>367</v>
      </c>
      <c r="Z584" t="s">
        <v>374</v>
      </c>
      <c r="AB584" s="73"/>
      <c r="AQ584" s="73"/>
      <c r="BG584" t="s">
        <v>371</v>
      </c>
      <c r="BH584" t="s">
        <v>371</v>
      </c>
      <c r="BI584" t="s">
        <v>371</v>
      </c>
      <c r="BJ584" t="s">
        <v>371</v>
      </c>
      <c r="BK584" t="s">
        <v>371</v>
      </c>
      <c r="BL584" t="s">
        <v>371</v>
      </c>
      <c r="BM584" t="s">
        <v>371</v>
      </c>
      <c r="BN584" t="s">
        <v>371</v>
      </c>
      <c r="BO584" t="s">
        <v>371</v>
      </c>
      <c r="BQ584" t="s">
        <v>375</v>
      </c>
      <c r="BR584" s="73"/>
      <c r="CX584" s="73"/>
      <c r="EQ584" s="73"/>
      <c r="FT584">
        <v>0</v>
      </c>
      <c r="FZ584" t="s">
        <v>371</v>
      </c>
      <c r="GA584" t="s">
        <v>371</v>
      </c>
      <c r="GB584" t="s">
        <v>371</v>
      </c>
      <c r="GC584" t="s">
        <v>371</v>
      </c>
      <c r="GD584" t="s">
        <v>371</v>
      </c>
      <c r="GF584" t="s">
        <v>371</v>
      </c>
      <c r="GG584" t="s">
        <v>371</v>
      </c>
      <c r="GH584" t="s">
        <v>371</v>
      </c>
      <c r="GI584" t="s">
        <v>371</v>
      </c>
      <c r="GJ584" t="s">
        <v>371</v>
      </c>
      <c r="GK584" t="s">
        <v>371</v>
      </c>
      <c r="GN584" t="s">
        <v>371</v>
      </c>
      <c r="GO584" t="s">
        <v>371</v>
      </c>
      <c r="GP584" t="s">
        <v>371</v>
      </c>
      <c r="GQ584" t="s">
        <v>371</v>
      </c>
      <c r="GR584" t="s">
        <v>371</v>
      </c>
      <c r="GS584" t="s">
        <v>371</v>
      </c>
      <c r="GT584" t="s">
        <v>371</v>
      </c>
      <c r="GU584" t="s">
        <v>371</v>
      </c>
      <c r="GV584" t="s">
        <v>371</v>
      </c>
      <c r="GW584" t="s">
        <v>371</v>
      </c>
      <c r="GX584" t="s">
        <v>371</v>
      </c>
      <c r="HA584" t="s">
        <v>375</v>
      </c>
    </row>
    <row r="585" spans="1:209" ht="14.25" customHeight="1" x14ac:dyDescent="0.25">
      <c r="A585" t="s">
        <v>719</v>
      </c>
      <c r="B585" t="s">
        <v>376</v>
      </c>
      <c r="C585">
        <v>1</v>
      </c>
      <c r="D585" t="s">
        <v>666</v>
      </c>
      <c r="E585" s="73"/>
      <c r="AA585" t="s">
        <v>377</v>
      </c>
      <c r="AB585" s="73">
        <v>46197</v>
      </c>
      <c r="AE585" t="s">
        <v>667</v>
      </c>
      <c r="AF585" t="s">
        <v>668</v>
      </c>
      <c r="AG585" t="s">
        <v>718</v>
      </c>
      <c r="AI585" t="s">
        <v>400</v>
      </c>
      <c r="AJ585">
        <v>1</v>
      </c>
      <c r="AK585" t="s">
        <v>372</v>
      </c>
      <c r="AP585" t="s">
        <v>374</v>
      </c>
      <c r="AQ585" s="73"/>
      <c r="BR585" s="73"/>
      <c r="CX585" s="73"/>
      <c r="EQ585" s="73"/>
    </row>
    <row r="586" spans="1:209" ht="14.25" customHeight="1" x14ac:dyDescent="0.25">
      <c r="A586" t="s">
        <v>719</v>
      </c>
      <c r="B586" t="s">
        <v>381</v>
      </c>
      <c r="C586">
        <v>1</v>
      </c>
      <c r="D586" t="s">
        <v>666</v>
      </c>
      <c r="E586" s="73"/>
      <c r="AB586" s="73"/>
      <c r="AQ586" s="73">
        <v>46197</v>
      </c>
      <c r="AT586" t="s">
        <v>677</v>
      </c>
      <c r="AU586" t="s">
        <v>383</v>
      </c>
      <c r="AV586" t="s">
        <v>383</v>
      </c>
      <c r="AW586" t="s">
        <v>383</v>
      </c>
      <c r="AX586" t="s">
        <v>383</v>
      </c>
      <c r="AY586" t="s">
        <v>384</v>
      </c>
      <c r="AZ586" t="s">
        <v>384</v>
      </c>
      <c r="BA586" t="s">
        <v>367</v>
      </c>
      <c r="BB586" t="s">
        <v>367</v>
      </c>
      <c r="BC586">
        <v>4</v>
      </c>
      <c r="BD586" t="s">
        <v>374</v>
      </c>
      <c r="BR586" s="73"/>
      <c r="CX586" s="73"/>
      <c r="EQ586" s="73"/>
    </row>
    <row r="587" spans="1:209" ht="14.25" customHeight="1" x14ac:dyDescent="0.25">
      <c r="A587" t="s">
        <v>720</v>
      </c>
      <c r="D587" t="s">
        <v>666</v>
      </c>
      <c r="E587" s="73">
        <v>46197</v>
      </c>
      <c r="H587" t="s">
        <v>368</v>
      </c>
      <c r="I587" t="s">
        <v>368</v>
      </c>
      <c r="J587">
        <v>1977</v>
      </c>
      <c r="K587" t="s">
        <v>369</v>
      </c>
      <c r="L587" t="s">
        <v>370</v>
      </c>
      <c r="M587" t="s">
        <v>371</v>
      </c>
      <c r="N587" t="s">
        <v>371</v>
      </c>
      <c r="O587" t="s">
        <v>371</v>
      </c>
      <c r="P587" t="s">
        <v>371</v>
      </c>
      <c r="Q587" t="s">
        <v>371</v>
      </c>
      <c r="R587" t="s">
        <v>372</v>
      </c>
      <c r="S587" t="s">
        <v>372</v>
      </c>
      <c r="T587" t="s">
        <v>372</v>
      </c>
      <c r="U587" t="s">
        <v>367</v>
      </c>
      <c r="W587" t="s">
        <v>367</v>
      </c>
      <c r="X587" t="s">
        <v>373</v>
      </c>
      <c r="Y587" t="s">
        <v>367</v>
      </c>
      <c r="Z587" t="s">
        <v>374</v>
      </c>
      <c r="AB587" s="73"/>
      <c r="AQ587" s="73"/>
      <c r="BG587" t="s">
        <v>371</v>
      </c>
      <c r="BH587" t="s">
        <v>371</v>
      </c>
      <c r="BI587" t="s">
        <v>371</v>
      </c>
      <c r="BJ587" t="s">
        <v>371</v>
      </c>
      <c r="BK587" t="s">
        <v>371</v>
      </c>
      <c r="BL587" t="s">
        <v>371</v>
      </c>
      <c r="BM587" t="s">
        <v>371</v>
      </c>
      <c r="BN587" t="s">
        <v>371</v>
      </c>
      <c r="BO587" t="s">
        <v>371</v>
      </c>
      <c r="BQ587" t="s">
        <v>375</v>
      </c>
      <c r="BR587" s="73"/>
      <c r="CX587" s="73"/>
      <c r="EQ587" s="73"/>
      <c r="FT587">
        <v>0</v>
      </c>
      <c r="FZ587" t="s">
        <v>371</v>
      </c>
      <c r="GA587" t="s">
        <v>371</v>
      </c>
      <c r="GB587" t="s">
        <v>371</v>
      </c>
      <c r="GC587" t="s">
        <v>371</v>
      </c>
      <c r="GD587" t="s">
        <v>371</v>
      </c>
      <c r="GF587" t="s">
        <v>371</v>
      </c>
      <c r="GG587" t="s">
        <v>371</v>
      </c>
      <c r="GH587" t="s">
        <v>371</v>
      </c>
      <c r="GI587" t="s">
        <v>371</v>
      </c>
      <c r="GJ587" t="s">
        <v>371</v>
      </c>
      <c r="GK587" t="s">
        <v>371</v>
      </c>
      <c r="GN587" t="s">
        <v>371</v>
      </c>
      <c r="GO587" t="s">
        <v>371</v>
      </c>
      <c r="GP587" t="s">
        <v>371</v>
      </c>
      <c r="GQ587" t="s">
        <v>371</v>
      </c>
      <c r="GR587" t="s">
        <v>371</v>
      </c>
      <c r="GS587" t="s">
        <v>371</v>
      </c>
      <c r="GT587" t="s">
        <v>371</v>
      </c>
      <c r="GU587" t="s">
        <v>371</v>
      </c>
      <c r="GV587" t="s">
        <v>371</v>
      </c>
      <c r="GW587" t="s">
        <v>371</v>
      </c>
      <c r="GX587" t="s">
        <v>371</v>
      </c>
      <c r="HA587" t="s">
        <v>375</v>
      </c>
    </row>
    <row r="588" spans="1:209" ht="14.25" customHeight="1" x14ac:dyDescent="0.25">
      <c r="A588" t="s">
        <v>720</v>
      </c>
      <c r="B588" t="s">
        <v>376</v>
      </c>
      <c r="C588">
        <v>1</v>
      </c>
      <c r="D588" t="s">
        <v>666</v>
      </c>
      <c r="E588" s="73"/>
      <c r="AA588" t="s">
        <v>377</v>
      </c>
      <c r="AB588" s="73">
        <v>46197</v>
      </c>
      <c r="AE588" t="s">
        <v>667</v>
      </c>
      <c r="AF588" t="s">
        <v>668</v>
      </c>
      <c r="AG588" t="s">
        <v>718</v>
      </c>
      <c r="AI588" t="s">
        <v>400</v>
      </c>
      <c r="AJ588">
        <v>1</v>
      </c>
      <c r="AK588" t="s">
        <v>372</v>
      </c>
      <c r="AP588" t="s">
        <v>374</v>
      </c>
      <c r="AQ588" s="73"/>
      <c r="BR588" s="73"/>
      <c r="CX588" s="73"/>
      <c r="EQ588" s="73"/>
    </row>
    <row r="589" spans="1:209" ht="14.25" customHeight="1" x14ac:dyDescent="0.25">
      <c r="A589" t="s">
        <v>720</v>
      </c>
      <c r="B589" t="s">
        <v>381</v>
      </c>
      <c r="C589">
        <v>1</v>
      </c>
      <c r="D589" t="s">
        <v>666</v>
      </c>
      <c r="E589" s="73"/>
      <c r="AB589" s="73"/>
      <c r="AQ589" s="73">
        <v>46197</v>
      </c>
      <c r="AT589" t="s">
        <v>674</v>
      </c>
      <c r="AU589" t="s">
        <v>383</v>
      </c>
      <c r="AV589" t="s">
        <v>384</v>
      </c>
      <c r="AW589" t="s">
        <v>383</v>
      </c>
      <c r="AX589" t="s">
        <v>385</v>
      </c>
      <c r="AY589" t="s">
        <v>384</v>
      </c>
      <c r="AZ589" t="s">
        <v>384</v>
      </c>
      <c r="BA589" t="s">
        <v>367</v>
      </c>
      <c r="BB589" t="s">
        <v>367</v>
      </c>
      <c r="BC589">
        <v>4</v>
      </c>
      <c r="BD589" t="s">
        <v>374</v>
      </c>
      <c r="BR589" s="73"/>
      <c r="CX589" s="73"/>
      <c r="EQ589" s="73"/>
    </row>
    <row r="590" spans="1:209" ht="14.25" customHeight="1" x14ac:dyDescent="0.25">
      <c r="A590" t="s">
        <v>721</v>
      </c>
      <c r="D590" t="s">
        <v>666</v>
      </c>
      <c r="E590" s="73">
        <v>46197</v>
      </c>
      <c r="H590" t="s">
        <v>368</v>
      </c>
      <c r="I590" t="s">
        <v>368</v>
      </c>
      <c r="J590">
        <v>1976</v>
      </c>
      <c r="K590" t="s">
        <v>369</v>
      </c>
      <c r="L590" t="s">
        <v>370</v>
      </c>
      <c r="M590" t="s">
        <v>371</v>
      </c>
      <c r="N590" t="s">
        <v>371</v>
      </c>
      <c r="O590" t="s">
        <v>371</v>
      </c>
      <c r="P590" t="s">
        <v>371</v>
      </c>
      <c r="Q590" t="s">
        <v>371</v>
      </c>
      <c r="R590" t="s">
        <v>372</v>
      </c>
      <c r="S590" t="s">
        <v>372</v>
      </c>
      <c r="T590" t="s">
        <v>372</v>
      </c>
      <c r="U590" t="s">
        <v>367</v>
      </c>
      <c r="W590" t="s">
        <v>367</v>
      </c>
      <c r="X590" t="s">
        <v>399</v>
      </c>
      <c r="Y590" t="s">
        <v>421</v>
      </c>
      <c r="Z590" t="s">
        <v>374</v>
      </c>
      <c r="AB590" s="73"/>
      <c r="AQ590" s="73"/>
      <c r="BG590" t="s">
        <v>371</v>
      </c>
      <c r="BH590" t="s">
        <v>371</v>
      </c>
      <c r="BI590" t="s">
        <v>371</v>
      </c>
      <c r="BJ590" t="s">
        <v>371</v>
      </c>
      <c r="BK590" t="s">
        <v>371</v>
      </c>
      <c r="BL590" t="s">
        <v>371</v>
      </c>
      <c r="BM590" t="s">
        <v>371</v>
      </c>
      <c r="BN590" t="s">
        <v>371</v>
      </c>
      <c r="BO590" t="s">
        <v>371</v>
      </c>
      <c r="BQ590" t="s">
        <v>375</v>
      </c>
      <c r="BR590" s="73"/>
      <c r="CX590" s="73"/>
      <c r="EQ590" s="73"/>
      <c r="FT590">
        <v>0</v>
      </c>
      <c r="FZ590" t="s">
        <v>371</v>
      </c>
      <c r="GA590" t="s">
        <v>371</v>
      </c>
      <c r="GB590" t="s">
        <v>371</v>
      </c>
      <c r="GC590" t="s">
        <v>371</v>
      </c>
      <c r="GD590" t="s">
        <v>371</v>
      </c>
      <c r="GF590" t="s">
        <v>371</v>
      </c>
      <c r="GG590" t="s">
        <v>371</v>
      </c>
      <c r="GH590" t="s">
        <v>371</v>
      </c>
      <c r="GI590" t="s">
        <v>371</v>
      </c>
      <c r="GJ590" t="s">
        <v>371</v>
      </c>
      <c r="GK590" t="s">
        <v>371</v>
      </c>
      <c r="GN590" t="s">
        <v>371</v>
      </c>
      <c r="GO590" t="s">
        <v>371</v>
      </c>
      <c r="GP590" t="s">
        <v>371</v>
      </c>
      <c r="GQ590" t="s">
        <v>371</v>
      </c>
      <c r="GR590" t="s">
        <v>371</v>
      </c>
      <c r="GS590" t="s">
        <v>371</v>
      </c>
      <c r="GT590" t="s">
        <v>371</v>
      </c>
      <c r="GU590" t="s">
        <v>371</v>
      </c>
      <c r="GV590" t="s">
        <v>371</v>
      </c>
      <c r="GW590" t="s">
        <v>371</v>
      </c>
      <c r="GX590" t="s">
        <v>371</v>
      </c>
      <c r="HA590" t="s">
        <v>375</v>
      </c>
    </row>
    <row r="591" spans="1:209" ht="14.25" customHeight="1" x14ac:dyDescent="0.25">
      <c r="A591" t="s">
        <v>721</v>
      </c>
      <c r="B591" t="s">
        <v>376</v>
      </c>
      <c r="C591">
        <v>1</v>
      </c>
      <c r="D591" t="s">
        <v>666</v>
      </c>
      <c r="E591" s="73"/>
      <c r="AA591" t="s">
        <v>377</v>
      </c>
      <c r="AB591" s="73">
        <v>46197</v>
      </c>
      <c r="AE591" t="s">
        <v>667</v>
      </c>
      <c r="AF591" t="s">
        <v>668</v>
      </c>
      <c r="AG591" t="s">
        <v>718</v>
      </c>
      <c r="AI591" t="s">
        <v>400</v>
      </c>
      <c r="AJ591">
        <v>1</v>
      </c>
      <c r="AK591" t="s">
        <v>372</v>
      </c>
      <c r="AP591" t="s">
        <v>374</v>
      </c>
      <c r="AQ591" s="73"/>
      <c r="BR591" s="73"/>
      <c r="CX591" s="73"/>
      <c r="EQ591" s="73"/>
    </row>
    <row r="592" spans="1:209" ht="14.25" customHeight="1" x14ac:dyDescent="0.25">
      <c r="A592" t="s">
        <v>721</v>
      </c>
      <c r="B592" t="s">
        <v>381</v>
      </c>
      <c r="C592">
        <v>1</v>
      </c>
      <c r="D592" t="s">
        <v>666</v>
      </c>
      <c r="E592" s="73"/>
      <c r="AB592" s="73"/>
      <c r="AQ592" s="73">
        <v>46197</v>
      </c>
      <c r="AT592" t="s">
        <v>677</v>
      </c>
      <c r="AU592" t="s">
        <v>384</v>
      </c>
      <c r="AV592" t="s">
        <v>383</v>
      </c>
      <c r="AW592" t="s">
        <v>384</v>
      </c>
      <c r="AX592" t="s">
        <v>383</v>
      </c>
      <c r="AY592" t="s">
        <v>384</v>
      </c>
      <c r="AZ592" t="s">
        <v>384</v>
      </c>
      <c r="BA592" t="s">
        <v>367</v>
      </c>
      <c r="BB592" t="s">
        <v>367</v>
      </c>
      <c r="BC592">
        <v>2</v>
      </c>
      <c r="BD592" t="s">
        <v>374</v>
      </c>
      <c r="BR592" s="73"/>
      <c r="CX592" s="73"/>
      <c r="EQ592" s="73"/>
    </row>
    <row r="593" spans="1:209" ht="14.25" customHeight="1" x14ac:dyDescent="0.25">
      <c r="A593" t="s">
        <v>722</v>
      </c>
      <c r="D593" t="s">
        <v>666</v>
      </c>
      <c r="E593" s="73">
        <v>46197</v>
      </c>
      <c r="H593" t="s">
        <v>368</v>
      </c>
      <c r="I593" t="s">
        <v>368</v>
      </c>
      <c r="J593">
        <v>1986</v>
      </c>
      <c r="K593" t="s">
        <v>369</v>
      </c>
      <c r="L593" t="s">
        <v>370</v>
      </c>
      <c r="M593" t="s">
        <v>371</v>
      </c>
      <c r="N593" t="s">
        <v>371</v>
      </c>
      <c r="O593" t="s">
        <v>371</v>
      </c>
      <c r="P593" t="s">
        <v>371</v>
      </c>
      <c r="Q593" t="s">
        <v>371</v>
      </c>
      <c r="R593" t="s">
        <v>372</v>
      </c>
      <c r="S593" t="s">
        <v>372</v>
      </c>
      <c r="T593" t="s">
        <v>372</v>
      </c>
      <c r="U593" t="s">
        <v>367</v>
      </c>
      <c r="W593" t="s">
        <v>367</v>
      </c>
      <c r="X593" t="s">
        <v>399</v>
      </c>
      <c r="Y593" t="s">
        <v>421</v>
      </c>
      <c r="Z593" t="s">
        <v>374</v>
      </c>
      <c r="AB593" s="73"/>
      <c r="AQ593" s="73"/>
      <c r="BG593" t="s">
        <v>371</v>
      </c>
      <c r="BH593" t="s">
        <v>371</v>
      </c>
      <c r="BI593" t="s">
        <v>371</v>
      </c>
      <c r="BJ593" t="s">
        <v>371</v>
      </c>
      <c r="BK593" t="s">
        <v>371</v>
      </c>
      <c r="BL593" t="s">
        <v>371</v>
      </c>
      <c r="BM593" t="s">
        <v>371</v>
      </c>
      <c r="BN593" t="s">
        <v>371</v>
      </c>
      <c r="BO593" t="s">
        <v>371</v>
      </c>
      <c r="BQ593" t="s">
        <v>375</v>
      </c>
      <c r="BR593" s="73"/>
      <c r="CX593" s="73"/>
      <c r="EQ593" s="73"/>
      <c r="FT593">
        <v>0</v>
      </c>
      <c r="FZ593" t="s">
        <v>371</v>
      </c>
      <c r="GA593" t="s">
        <v>371</v>
      </c>
      <c r="GB593" t="s">
        <v>371</v>
      </c>
      <c r="GC593" t="s">
        <v>371</v>
      </c>
      <c r="GD593" t="s">
        <v>371</v>
      </c>
      <c r="GF593" t="s">
        <v>371</v>
      </c>
      <c r="GG593" t="s">
        <v>371</v>
      </c>
      <c r="GH593" t="s">
        <v>371</v>
      </c>
      <c r="GI593" t="s">
        <v>371</v>
      </c>
      <c r="GJ593" t="s">
        <v>371</v>
      </c>
      <c r="GK593" t="s">
        <v>371</v>
      </c>
      <c r="GN593" t="s">
        <v>371</v>
      </c>
      <c r="GO593" t="s">
        <v>371</v>
      </c>
      <c r="GP593" t="s">
        <v>371</v>
      </c>
      <c r="GQ593" t="s">
        <v>371</v>
      </c>
      <c r="GR593" t="s">
        <v>371</v>
      </c>
      <c r="GS593" t="s">
        <v>371</v>
      </c>
      <c r="GT593" t="s">
        <v>371</v>
      </c>
      <c r="GU593" t="s">
        <v>371</v>
      </c>
      <c r="GV593" t="s">
        <v>371</v>
      </c>
      <c r="GW593" t="s">
        <v>371</v>
      </c>
      <c r="GX593" t="s">
        <v>371</v>
      </c>
      <c r="HA593" t="s">
        <v>375</v>
      </c>
    </row>
    <row r="594" spans="1:209" ht="14.25" customHeight="1" x14ac:dyDescent="0.25">
      <c r="A594" t="s">
        <v>722</v>
      </c>
      <c r="B594" t="s">
        <v>376</v>
      </c>
      <c r="C594">
        <v>1</v>
      </c>
      <c r="D594" t="s">
        <v>666</v>
      </c>
      <c r="E594" s="73"/>
      <c r="AA594" t="s">
        <v>377</v>
      </c>
      <c r="AB594" s="73">
        <v>46197</v>
      </c>
      <c r="AE594" t="s">
        <v>667</v>
      </c>
      <c r="AF594" t="s">
        <v>668</v>
      </c>
      <c r="AG594" t="s">
        <v>718</v>
      </c>
      <c r="AI594" t="s">
        <v>400</v>
      </c>
      <c r="AJ594">
        <v>1</v>
      </c>
      <c r="AK594" t="s">
        <v>372</v>
      </c>
      <c r="AP594" t="s">
        <v>374</v>
      </c>
      <c r="AQ594" s="73"/>
      <c r="BR594" s="73"/>
      <c r="CX594" s="73"/>
      <c r="EQ594" s="73"/>
    </row>
    <row r="595" spans="1:209" ht="14.25" customHeight="1" x14ac:dyDescent="0.25">
      <c r="A595" t="s">
        <v>722</v>
      </c>
      <c r="B595" t="s">
        <v>381</v>
      </c>
      <c r="C595">
        <v>1</v>
      </c>
      <c r="D595" t="s">
        <v>666</v>
      </c>
      <c r="E595" s="73"/>
      <c r="AB595" s="73"/>
      <c r="AQ595" s="73">
        <v>46197</v>
      </c>
      <c r="AT595" t="s">
        <v>702</v>
      </c>
      <c r="AU595" t="s">
        <v>383</v>
      </c>
      <c r="AV595" t="s">
        <v>383</v>
      </c>
      <c r="AW595" t="s">
        <v>384</v>
      </c>
      <c r="AX595" t="s">
        <v>384</v>
      </c>
      <c r="AY595" t="s">
        <v>384</v>
      </c>
      <c r="AZ595" t="s">
        <v>384</v>
      </c>
      <c r="BA595" t="s">
        <v>367</v>
      </c>
      <c r="BB595" t="s">
        <v>367</v>
      </c>
      <c r="BC595">
        <v>2</v>
      </c>
      <c r="BD595" t="s">
        <v>374</v>
      </c>
      <c r="BR595" s="73"/>
      <c r="CX595" s="73"/>
      <c r="EQ595" s="73"/>
    </row>
    <row r="596" spans="1:209" ht="14.25" customHeight="1" x14ac:dyDescent="0.25">
      <c r="A596" t="s">
        <v>723</v>
      </c>
      <c r="D596" t="s">
        <v>666</v>
      </c>
      <c r="E596" s="73">
        <v>46197</v>
      </c>
      <c r="H596" t="s">
        <v>368</v>
      </c>
      <c r="I596" t="s">
        <v>368</v>
      </c>
      <c r="J596">
        <v>1992</v>
      </c>
      <c r="K596" t="s">
        <v>369</v>
      </c>
      <c r="L596" t="s">
        <v>370</v>
      </c>
      <c r="M596" t="s">
        <v>371</v>
      </c>
      <c r="N596" t="s">
        <v>371</v>
      </c>
      <c r="O596" t="s">
        <v>371</v>
      </c>
      <c r="P596" t="s">
        <v>371</v>
      </c>
      <c r="Q596" t="s">
        <v>371</v>
      </c>
      <c r="R596" t="s">
        <v>372</v>
      </c>
      <c r="S596" t="s">
        <v>372</v>
      </c>
      <c r="T596" t="s">
        <v>372</v>
      </c>
      <c r="U596" t="s">
        <v>367</v>
      </c>
      <c r="W596" t="s">
        <v>367</v>
      </c>
      <c r="X596" t="s">
        <v>399</v>
      </c>
      <c r="Y596" t="s">
        <v>421</v>
      </c>
      <c r="Z596" t="s">
        <v>374</v>
      </c>
      <c r="AB596" s="73"/>
      <c r="AQ596" s="73"/>
      <c r="BG596" t="s">
        <v>371</v>
      </c>
      <c r="BH596" t="s">
        <v>371</v>
      </c>
      <c r="BI596" t="s">
        <v>371</v>
      </c>
      <c r="BJ596" t="s">
        <v>371</v>
      </c>
      <c r="BK596" t="s">
        <v>371</v>
      </c>
      <c r="BL596" t="s">
        <v>371</v>
      </c>
      <c r="BM596" t="s">
        <v>371</v>
      </c>
      <c r="BN596" t="s">
        <v>371</v>
      </c>
      <c r="BO596" t="s">
        <v>371</v>
      </c>
      <c r="BQ596" t="s">
        <v>375</v>
      </c>
      <c r="BR596" s="73"/>
      <c r="CX596" s="73"/>
      <c r="EQ596" s="73"/>
      <c r="FT596">
        <v>0</v>
      </c>
      <c r="FZ596" t="s">
        <v>371</v>
      </c>
      <c r="GA596" t="s">
        <v>371</v>
      </c>
      <c r="GB596" t="s">
        <v>371</v>
      </c>
      <c r="GC596" t="s">
        <v>371</v>
      </c>
      <c r="GD596" t="s">
        <v>371</v>
      </c>
      <c r="GF596" t="s">
        <v>371</v>
      </c>
      <c r="GG596" t="s">
        <v>371</v>
      </c>
      <c r="GH596" t="s">
        <v>371</v>
      </c>
      <c r="GI596" t="s">
        <v>371</v>
      </c>
      <c r="GJ596" t="s">
        <v>371</v>
      </c>
      <c r="GK596" t="s">
        <v>371</v>
      </c>
      <c r="GN596" t="s">
        <v>371</v>
      </c>
      <c r="GO596" t="s">
        <v>371</v>
      </c>
      <c r="GP596" t="s">
        <v>371</v>
      </c>
      <c r="GQ596" t="s">
        <v>371</v>
      </c>
      <c r="GR596" t="s">
        <v>371</v>
      </c>
      <c r="GS596" t="s">
        <v>371</v>
      </c>
      <c r="GT596" t="s">
        <v>371</v>
      </c>
      <c r="GU596" t="s">
        <v>371</v>
      </c>
      <c r="GV596" t="s">
        <v>371</v>
      </c>
      <c r="GW596" t="s">
        <v>371</v>
      </c>
      <c r="GX596" t="s">
        <v>371</v>
      </c>
      <c r="HA596" t="s">
        <v>375</v>
      </c>
    </row>
    <row r="597" spans="1:209" ht="14.25" customHeight="1" x14ac:dyDescent="0.25">
      <c r="A597" t="s">
        <v>723</v>
      </c>
      <c r="B597" t="s">
        <v>376</v>
      </c>
      <c r="C597">
        <v>1</v>
      </c>
      <c r="D597" t="s">
        <v>666</v>
      </c>
      <c r="E597" s="73"/>
      <c r="AA597" t="s">
        <v>377</v>
      </c>
      <c r="AB597" s="73">
        <v>46197</v>
      </c>
      <c r="AE597" t="s">
        <v>667</v>
      </c>
      <c r="AF597" t="s">
        <v>668</v>
      </c>
      <c r="AG597" t="s">
        <v>718</v>
      </c>
      <c r="AI597" t="s">
        <v>400</v>
      </c>
      <c r="AJ597">
        <v>1</v>
      </c>
      <c r="AK597" t="s">
        <v>372</v>
      </c>
      <c r="AP597" t="s">
        <v>374</v>
      </c>
      <c r="AQ597" s="73"/>
      <c r="BR597" s="73"/>
      <c r="CX597" s="73"/>
      <c r="EQ597" s="73"/>
    </row>
    <row r="598" spans="1:209" ht="14.25" customHeight="1" x14ac:dyDescent="0.25">
      <c r="A598" t="s">
        <v>723</v>
      </c>
      <c r="B598" t="s">
        <v>381</v>
      </c>
      <c r="C598">
        <v>1</v>
      </c>
      <c r="D598" t="s">
        <v>666</v>
      </c>
      <c r="E598" s="73"/>
      <c r="AB598" s="73"/>
      <c r="AQ598" s="73">
        <v>46197</v>
      </c>
      <c r="AT598" t="s">
        <v>702</v>
      </c>
      <c r="AU598" t="s">
        <v>383</v>
      </c>
      <c r="AV598" t="s">
        <v>383</v>
      </c>
      <c r="AW598" t="s">
        <v>384</v>
      </c>
      <c r="AX598" t="s">
        <v>383</v>
      </c>
      <c r="AY598" t="s">
        <v>384</v>
      </c>
      <c r="AZ598" t="s">
        <v>384</v>
      </c>
      <c r="BA598" t="s">
        <v>367</v>
      </c>
      <c r="BB598" t="s">
        <v>367</v>
      </c>
      <c r="BC598">
        <v>3</v>
      </c>
      <c r="BD598" t="s">
        <v>374</v>
      </c>
      <c r="BR598" s="73"/>
      <c r="CX598" s="73"/>
      <c r="EQ598" s="73"/>
    </row>
    <row r="599" spans="1:209" ht="14.25" customHeight="1" x14ac:dyDescent="0.25">
      <c r="A599" t="s">
        <v>724</v>
      </c>
      <c r="D599" t="s">
        <v>666</v>
      </c>
      <c r="E599" s="73">
        <v>46197</v>
      </c>
      <c r="H599" t="s">
        <v>368</v>
      </c>
      <c r="I599" t="s">
        <v>368</v>
      </c>
      <c r="J599">
        <v>1977</v>
      </c>
      <c r="K599" t="s">
        <v>369</v>
      </c>
      <c r="L599" t="s">
        <v>370</v>
      </c>
      <c r="M599" t="s">
        <v>371</v>
      </c>
      <c r="N599" t="s">
        <v>371</v>
      </c>
      <c r="O599" t="s">
        <v>371</v>
      </c>
      <c r="P599" t="s">
        <v>371</v>
      </c>
      <c r="Q599" t="s">
        <v>371</v>
      </c>
      <c r="R599" t="s">
        <v>372</v>
      </c>
      <c r="S599" t="s">
        <v>372</v>
      </c>
      <c r="T599" t="s">
        <v>372</v>
      </c>
      <c r="U599" t="s">
        <v>367</v>
      </c>
      <c r="W599" t="s">
        <v>367</v>
      </c>
      <c r="X599" t="s">
        <v>432</v>
      </c>
      <c r="Y599" t="s">
        <v>421</v>
      </c>
      <c r="Z599" t="s">
        <v>374</v>
      </c>
      <c r="AB599" s="73"/>
      <c r="AQ599" s="73"/>
      <c r="BG599" t="s">
        <v>371</v>
      </c>
      <c r="BH599" t="s">
        <v>371</v>
      </c>
      <c r="BI599" t="s">
        <v>371</v>
      </c>
      <c r="BJ599" t="s">
        <v>371</v>
      </c>
      <c r="BK599" t="s">
        <v>371</v>
      </c>
      <c r="BL599" t="s">
        <v>371</v>
      </c>
      <c r="BM599" t="s">
        <v>371</v>
      </c>
      <c r="BN599" t="s">
        <v>371</v>
      </c>
      <c r="BO599" t="s">
        <v>371</v>
      </c>
      <c r="BQ599" t="s">
        <v>375</v>
      </c>
      <c r="BR599" s="73"/>
      <c r="CX599" s="73"/>
      <c r="EQ599" s="73"/>
      <c r="FT599">
        <v>0</v>
      </c>
      <c r="FZ599" t="s">
        <v>371</v>
      </c>
      <c r="GA599" t="s">
        <v>371</v>
      </c>
      <c r="GB599" t="s">
        <v>371</v>
      </c>
      <c r="GC599" t="s">
        <v>371</v>
      </c>
      <c r="GD599" t="s">
        <v>371</v>
      </c>
      <c r="GF599" t="s">
        <v>371</v>
      </c>
      <c r="GG599" t="s">
        <v>371</v>
      </c>
      <c r="GH599" t="s">
        <v>371</v>
      </c>
      <c r="GI599" t="s">
        <v>371</v>
      </c>
      <c r="GJ599" t="s">
        <v>371</v>
      </c>
      <c r="GK599" t="s">
        <v>371</v>
      </c>
      <c r="GN599" t="s">
        <v>371</v>
      </c>
      <c r="GO599" t="s">
        <v>371</v>
      </c>
      <c r="GP599" t="s">
        <v>371</v>
      </c>
      <c r="GQ599" t="s">
        <v>371</v>
      </c>
      <c r="GR599" t="s">
        <v>371</v>
      </c>
      <c r="GS599" t="s">
        <v>371</v>
      </c>
      <c r="GT599" t="s">
        <v>371</v>
      </c>
      <c r="GU599" t="s">
        <v>371</v>
      </c>
      <c r="GV599" t="s">
        <v>371</v>
      </c>
      <c r="GW599" t="s">
        <v>371</v>
      </c>
      <c r="GX599" t="s">
        <v>371</v>
      </c>
      <c r="HA599" t="s">
        <v>375</v>
      </c>
    </row>
    <row r="600" spans="1:209" ht="14.25" customHeight="1" x14ac:dyDescent="0.25">
      <c r="A600" t="s">
        <v>724</v>
      </c>
      <c r="B600" t="s">
        <v>376</v>
      </c>
      <c r="C600">
        <v>1</v>
      </c>
      <c r="D600" t="s">
        <v>666</v>
      </c>
      <c r="E600" s="73"/>
      <c r="AA600" t="s">
        <v>377</v>
      </c>
      <c r="AB600" s="73">
        <v>46197</v>
      </c>
      <c r="AE600" t="s">
        <v>667</v>
      </c>
      <c r="AF600" t="s">
        <v>668</v>
      </c>
      <c r="AG600" t="s">
        <v>718</v>
      </c>
      <c r="AI600" t="s">
        <v>400</v>
      </c>
      <c r="AJ600">
        <v>1</v>
      </c>
      <c r="AK600" t="s">
        <v>372</v>
      </c>
      <c r="AP600" t="s">
        <v>374</v>
      </c>
      <c r="AQ600" s="73"/>
      <c r="BR600" s="73"/>
      <c r="CX600" s="73"/>
      <c r="EQ600" s="73"/>
    </row>
    <row r="601" spans="1:209" ht="14.25" customHeight="1" x14ac:dyDescent="0.25">
      <c r="A601" t="s">
        <v>724</v>
      </c>
      <c r="B601" t="s">
        <v>381</v>
      </c>
      <c r="C601">
        <v>1</v>
      </c>
      <c r="D601" t="s">
        <v>666</v>
      </c>
      <c r="E601" s="73"/>
      <c r="AB601" s="73"/>
      <c r="AQ601" s="73">
        <v>46197</v>
      </c>
      <c r="AT601" t="s">
        <v>702</v>
      </c>
      <c r="AU601" t="s">
        <v>384</v>
      </c>
      <c r="AV601" t="s">
        <v>384</v>
      </c>
      <c r="AW601" t="s">
        <v>383</v>
      </c>
      <c r="AX601" t="s">
        <v>384</v>
      </c>
      <c r="AY601" t="s">
        <v>384</v>
      </c>
      <c r="AZ601" t="s">
        <v>384</v>
      </c>
      <c r="BA601" t="s">
        <v>367</v>
      </c>
      <c r="BB601" t="s">
        <v>372</v>
      </c>
      <c r="BC601">
        <v>3</v>
      </c>
      <c r="BD601" t="s">
        <v>374</v>
      </c>
      <c r="BR601" s="73"/>
      <c r="CX601" s="73"/>
      <c r="EQ601" s="73"/>
    </row>
    <row r="602" spans="1:209" ht="14.25" customHeight="1" x14ac:dyDescent="0.25">
      <c r="A602" t="s">
        <v>725</v>
      </c>
      <c r="D602" t="s">
        <v>666</v>
      </c>
      <c r="E602" s="73">
        <v>46197</v>
      </c>
      <c r="H602" t="s">
        <v>368</v>
      </c>
      <c r="I602" t="s">
        <v>368</v>
      </c>
      <c r="J602">
        <v>1976</v>
      </c>
      <c r="K602" t="s">
        <v>369</v>
      </c>
      <c r="L602" t="s">
        <v>370</v>
      </c>
      <c r="M602" t="s">
        <v>371</v>
      </c>
      <c r="N602" t="s">
        <v>371</v>
      </c>
      <c r="O602" t="s">
        <v>371</v>
      </c>
      <c r="P602" t="s">
        <v>371</v>
      </c>
      <c r="Q602" t="s">
        <v>371</v>
      </c>
      <c r="R602" t="s">
        <v>372</v>
      </c>
      <c r="S602" t="s">
        <v>372</v>
      </c>
      <c r="T602" t="s">
        <v>372</v>
      </c>
      <c r="U602" t="s">
        <v>367</v>
      </c>
      <c r="W602" t="s">
        <v>367</v>
      </c>
      <c r="X602" t="s">
        <v>399</v>
      </c>
      <c r="Y602" t="s">
        <v>396</v>
      </c>
      <c r="Z602" t="s">
        <v>374</v>
      </c>
      <c r="AB602" s="73"/>
      <c r="AQ602" s="73"/>
      <c r="BG602" t="s">
        <v>371</v>
      </c>
      <c r="BH602" t="s">
        <v>371</v>
      </c>
      <c r="BI602" t="s">
        <v>371</v>
      </c>
      <c r="BJ602" t="s">
        <v>371</v>
      </c>
      <c r="BK602" t="s">
        <v>371</v>
      </c>
      <c r="BL602" t="s">
        <v>371</v>
      </c>
      <c r="BM602" t="s">
        <v>371</v>
      </c>
      <c r="BN602" t="s">
        <v>371</v>
      </c>
      <c r="BO602" t="s">
        <v>371</v>
      </c>
      <c r="BQ602" t="s">
        <v>375</v>
      </c>
      <c r="BR602" s="73"/>
      <c r="CX602" s="73"/>
      <c r="EQ602" s="73"/>
      <c r="FT602">
        <v>0</v>
      </c>
      <c r="FZ602" t="s">
        <v>371</v>
      </c>
      <c r="GA602" t="s">
        <v>371</v>
      </c>
      <c r="GB602" t="s">
        <v>371</v>
      </c>
      <c r="GC602" t="s">
        <v>371</v>
      </c>
      <c r="GD602" t="s">
        <v>371</v>
      </c>
      <c r="GF602" t="s">
        <v>371</v>
      </c>
      <c r="GG602" t="s">
        <v>371</v>
      </c>
      <c r="GH602" t="s">
        <v>371</v>
      </c>
      <c r="GI602" t="s">
        <v>371</v>
      </c>
      <c r="GJ602" t="s">
        <v>371</v>
      </c>
      <c r="GK602" t="s">
        <v>371</v>
      </c>
      <c r="GN602" t="s">
        <v>371</v>
      </c>
      <c r="GO602" t="s">
        <v>371</v>
      </c>
      <c r="GP602" t="s">
        <v>371</v>
      </c>
      <c r="GQ602" t="s">
        <v>371</v>
      </c>
      <c r="GR602" t="s">
        <v>371</v>
      </c>
      <c r="GS602" t="s">
        <v>371</v>
      </c>
      <c r="GT602" t="s">
        <v>371</v>
      </c>
      <c r="GU602" t="s">
        <v>371</v>
      </c>
      <c r="GV602" t="s">
        <v>371</v>
      </c>
      <c r="GW602" t="s">
        <v>371</v>
      </c>
      <c r="GX602" t="s">
        <v>371</v>
      </c>
      <c r="HA602" t="s">
        <v>375</v>
      </c>
    </row>
    <row r="603" spans="1:209" ht="14.25" customHeight="1" x14ac:dyDescent="0.25">
      <c r="A603" t="s">
        <v>725</v>
      </c>
      <c r="B603" t="s">
        <v>376</v>
      </c>
      <c r="C603">
        <v>1</v>
      </c>
      <c r="D603" t="s">
        <v>666</v>
      </c>
      <c r="E603" s="73"/>
      <c r="AA603" t="s">
        <v>377</v>
      </c>
      <c r="AB603" s="73">
        <v>46197</v>
      </c>
      <c r="AE603" t="s">
        <v>667</v>
      </c>
      <c r="AF603" t="s">
        <v>668</v>
      </c>
      <c r="AG603" t="s">
        <v>685</v>
      </c>
      <c r="AI603" t="s">
        <v>688</v>
      </c>
      <c r="AJ603">
        <v>1</v>
      </c>
      <c r="AK603" t="s">
        <v>372</v>
      </c>
      <c r="AP603" t="s">
        <v>374</v>
      </c>
      <c r="AQ603" s="73"/>
      <c r="BR603" s="73"/>
      <c r="CX603" s="73"/>
      <c r="EQ603" s="73"/>
    </row>
    <row r="604" spans="1:209" ht="14.25" customHeight="1" x14ac:dyDescent="0.25">
      <c r="A604" t="s">
        <v>725</v>
      </c>
      <c r="B604" t="s">
        <v>381</v>
      </c>
      <c r="C604">
        <v>1</v>
      </c>
      <c r="D604" t="s">
        <v>666</v>
      </c>
      <c r="E604" s="73"/>
      <c r="AB604" s="73"/>
      <c r="AQ604" s="73">
        <v>46197</v>
      </c>
      <c r="AT604" t="s">
        <v>677</v>
      </c>
      <c r="AU604" t="s">
        <v>385</v>
      </c>
      <c r="AV604" t="s">
        <v>385</v>
      </c>
      <c r="AW604" t="s">
        <v>404</v>
      </c>
      <c r="AX604" t="s">
        <v>385</v>
      </c>
      <c r="AY604" t="s">
        <v>385</v>
      </c>
      <c r="AZ604" t="s">
        <v>384</v>
      </c>
      <c r="BA604" t="s">
        <v>367</v>
      </c>
      <c r="BB604" t="s">
        <v>367</v>
      </c>
      <c r="BC604">
        <v>11</v>
      </c>
      <c r="BD604" t="s">
        <v>374</v>
      </c>
      <c r="BR604" s="73"/>
      <c r="CX604" s="73"/>
      <c r="EQ604" s="73"/>
    </row>
    <row r="605" spans="1:209" ht="14.25" customHeight="1" x14ac:dyDescent="0.25">
      <c r="A605" t="s">
        <v>726</v>
      </c>
      <c r="D605" t="s">
        <v>666</v>
      </c>
      <c r="E605" s="73">
        <v>46197</v>
      </c>
      <c r="H605" t="s">
        <v>368</v>
      </c>
      <c r="I605" t="s">
        <v>368</v>
      </c>
      <c r="J605">
        <v>1989</v>
      </c>
      <c r="K605" t="s">
        <v>369</v>
      </c>
      <c r="L605" t="s">
        <v>370</v>
      </c>
      <c r="M605" t="s">
        <v>371</v>
      </c>
      <c r="N605" t="s">
        <v>371</v>
      </c>
      <c r="O605" t="s">
        <v>371</v>
      </c>
      <c r="P605" t="s">
        <v>371</v>
      </c>
      <c r="Q605" t="s">
        <v>371</v>
      </c>
      <c r="R605" t="s">
        <v>372</v>
      </c>
      <c r="S605" t="s">
        <v>372</v>
      </c>
      <c r="T605" t="s">
        <v>372</v>
      </c>
      <c r="U605" t="s">
        <v>367</v>
      </c>
      <c r="W605" t="s">
        <v>367</v>
      </c>
      <c r="X605" t="s">
        <v>399</v>
      </c>
      <c r="Y605" t="s">
        <v>421</v>
      </c>
      <c r="Z605" t="s">
        <v>374</v>
      </c>
      <c r="AB605" s="73"/>
      <c r="AQ605" s="73"/>
      <c r="BG605" t="s">
        <v>371</v>
      </c>
      <c r="BH605" t="s">
        <v>371</v>
      </c>
      <c r="BI605" t="s">
        <v>371</v>
      </c>
      <c r="BJ605" t="s">
        <v>371</v>
      </c>
      <c r="BK605" t="s">
        <v>371</v>
      </c>
      <c r="BL605" t="s">
        <v>371</v>
      </c>
      <c r="BM605" t="s">
        <v>371</v>
      </c>
      <c r="BN605" t="s">
        <v>371</v>
      </c>
      <c r="BO605" t="s">
        <v>371</v>
      </c>
      <c r="BQ605" t="s">
        <v>375</v>
      </c>
      <c r="BR605" s="73"/>
      <c r="CX605" s="73"/>
      <c r="EQ605" s="73"/>
      <c r="FT605">
        <v>0</v>
      </c>
      <c r="FZ605" t="s">
        <v>371</v>
      </c>
      <c r="GA605" t="s">
        <v>371</v>
      </c>
      <c r="GB605" t="s">
        <v>371</v>
      </c>
      <c r="GC605" t="s">
        <v>371</v>
      </c>
      <c r="GD605" t="s">
        <v>371</v>
      </c>
      <c r="GF605" t="s">
        <v>371</v>
      </c>
      <c r="GG605" t="s">
        <v>371</v>
      </c>
      <c r="GH605" t="s">
        <v>371</v>
      </c>
      <c r="GI605" t="s">
        <v>371</v>
      </c>
      <c r="GJ605" t="s">
        <v>371</v>
      </c>
      <c r="GK605" t="s">
        <v>371</v>
      </c>
      <c r="GN605" t="s">
        <v>371</v>
      </c>
      <c r="GO605" t="s">
        <v>371</v>
      </c>
      <c r="GP605" t="s">
        <v>371</v>
      </c>
      <c r="GQ605" t="s">
        <v>371</v>
      </c>
      <c r="GR605" t="s">
        <v>371</v>
      </c>
      <c r="GS605" t="s">
        <v>371</v>
      </c>
      <c r="GT605" t="s">
        <v>371</v>
      </c>
      <c r="GU605" t="s">
        <v>371</v>
      </c>
      <c r="GV605" t="s">
        <v>371</v>
      </c>
      <c r="GW605" t="s">
        <v>371</v>
      </c>
      <c r="GX605" t="s">
        <v>371</v>
      </c>
      <c r="HA605" t="s">
        <v>375</v>
      </c>
    </row>
    <row r="606" spans="1:209" ht="14.25" customHeight="1" x14ac:dyDescent="0.25">
      <c r="A606" t="s">
        <v>726</v>
      </c>
      <c r="B606" t="s">
        <v>376</v>
      </c>
      <c r="C606">
        <v>1</v>
      </c>
      <c r="D606" t="s">
        <v>666</v>
      </c>
      <c r="E606" s="73"/>
      <c r="AA606" t="s">
        <v>377</v>
      </c>
      <c r="AB606" s="73">
        <v>46197</v>
      </c>
      <c r="AE606" t="s">
        <v>667</v>
      </c>
      <c r="AF606" t="s">
        <v>668</v>
      </c>
      <c r="AG606" t="s">
        <v>718</v>
      </c>
      <c r="AI606" t="s">
        <v>400</v>
      </c>
      <c r="AJ606">
        <v>1</v>
      </c>
      <c r="AK606" t="s">
        <v>372</v>
      </c>
      <c r="AP606" t="s">
        <v>374</v>
      </c>
      <c r="AQ606" s="73"/>
      <c r="BR606" s="73"/>
      <c r="CX606" s="73"/>
      <c r="EQ606" s="73"/>
    </row>
    <row r="607" spans="1:209" ht="14.25" customHeight="1" x14ac:dyDescent="0.25">
      <c r="A607" t="s">
        <v>726</v>
      </c>
      <c r="B607" t="s">
        <v>381</v>
      </c>
      <c r="C607">
        <v>1</v>
      </c>
      <c r="D607" t="s">
        <v>666</v>
      </c>
      <c r="E607" s="73"/>
      <c r="AB607" s="73"/>
      <c r="AQ607" s="73">
        <v>46197</v>
      </c>
      <c r="AT607" t="s">
        <v>677</v>
      </c>
      <c r="AU607" t="s">
        <v>404</v>
      </c>
      <c r="AV607" t="s">
        <v>385</v>
      </c>
      <c r="AW607" t="s">
        <v>385</v>
      </c>
      <c r="AX607" t="s">
        <v>404</v>
      </c>
      <c r="AY607" t="s">
        <v>383</v>
      </c>
      <c r="AZ607" t="s">
        <v>384</v>
      </c>
      <c r="BA607" t="s">
        <v>367</v>
      </c>
      <c r="BB607" t="s">
        <v>367</v>
      </c>
      <c r="BC607">
        <v>11</v>
      </c>
      <c r="BD607" t="s">
        <v>374</v>
      </c>
      <c r="BR607" s="73"/>
      <c r="CX607" s="73"/>
      <c r="EQ607" s="73"/>
    </row>
    <row r="608" spans="1:209" ht="14.25" customHeight="1" x14ac:dyDescent="0.25">
      <c r="A608" t="s">
        <v>727</v>
      </c>
      <c r="D608" t="s">
        <v>666</v>
      </c>
      <c r="E608" s="73">
        <v>46197</v>
      </c>
      <c r="H608" t="s">
        <v>368</v>
      </c>
      <c r="I608" t="s">
        <v>368</v>
      </c>
      <c r="J608">
        <v>1975</v>
      </c>
      <c r="K608" t="s">
        <v>369</v>
      </c>
      <c r="L608" t="s">
        <v>370</v>
      </c>
      <c r="M608" t="s">
        <v>371</v>
      </c>
      <c r="N608" t="s">
        <v>371</v>
      </c>
      <c r="O608" t="s">
        <v>371</v>
      </c>
      <c r="P608" t="s">
        <v>371</v>
      </c>
      <c r="Q608" t="s">
        <v>371</v>
      </c>
      <c r="R608" t="s">
        <v>372</v>
      </c>
      <c r="S608" t="s">
        <v>372</v>
      </c>
      <c r="T608" t="s">
        <v>372</v>
      </c>
      <c r="U608" t="s">
        <v>367</v>
      </c>
      <c r="W608" t="s">
        <v>367</v>
      </c>
      <c r="X608" t="s">
        <v>399</v>
      </c>
      <c r="Y608" t="s">
        <v>421</v>
      </c>
      <c r="Z608" t="s">
        <v>374</v>
      </c>
      <c r="AB608" s="73"/>
      <c r="AQ608" s="73"/>
      <c r="BG608" t="s">
        <v>371</v>
      </c>
      <c r="BH608" t="s">
        <v>371</v>
      </c>
      <c r="BI608" t="s">
        <v>371</v>
      </c>
      <c r="BJ608" t="s">
        <v>371</v>
      </c>
      <c r="BK608" t="s">
        <v>371</v>
      </c>
      <c r="BL608" t="s">
        <v>371</v>
      </c>
      <c r="BM608" t="s">
        <v>371</v>
      </c>
      <c r="BN608" t="s">
        <v>371</v>
      </c>
      <c r="BO608" t="s">
        <v>371</v>
      </c>
      <c r="BQ608" t="s">
        <v>375</v>
      </c>
      <c r="BR608" s="73"/>
      <c r="CX608" s="73"/>
      <c r="EQ608" s="73"/>
      <c r="FT608">
        <v>0</v>
      </c>
      <c r="FZ608" t="s">
        <v>371</v>
      </c>
      <c r="GA608" t="s">
        <v>371</v>
      </c>
      <c r="GB608" t="s">
        <v>371</v>
      </c>
      <c r="GC608" t="s">
        <v>371</v>
      </c>
      <c r="GD608" t="s">
        <v>371</v>
      </c>
      <c r="GF608" t="s">
        <v>371</v>
      </c>
      <c r="GG608" t="s">
        <v>371</v>
      </c>
      <c r="GH608" t="s">
        <v>371</v>
      </c>
      <c r="GI608" t="s">
        <v>371</v>
      </c>
      <c r="GJ608" t="s">
        <v>371</v>
      </c>
      <c r="GK608" t="s">
        <v>371</v>
      </c>
      <c r="GN608" t="s">
        <v>371</v>
      </c>
      <c r="GO608" t="s">
        <v>371</v>
      </c>
      <c r="GP608" t="s">
        <v>371</v>
      </c>
      <c r="GQ608" t="s">
        <v>371</v>
      </c>
      <c r="GR608" t="s">
        <v>371</v>
      </c>
      <c r="GS608" t="s">
        <v>371</v>
      </c>
      <c r="GT608" t="s">
        <v>371</v>
      </c>
      <c r="GU608" t="s">
        <v>371</v>
      </c>
      <c r="GV608" t="s">
        <v>371</v>
      </c>
      <c r="GW608" t="s">
        <v>371</v>
      </c>
      <c r="GX608" t="s">
        <v>371</v>
      </c>
      <c r="HA608" t="s">
        <v>375</v>
      </c>
    </row>
    <row r="609" spans="1:209" ht="14.25" customHeight="1" x14ac:dyDescent="0.25">
      <c r="A609" t="s">
        <v>727</v>
      </c>
      <c r="B609" t="s">
        <v>376</v>
      </c>
      <c r="C609">
        <v>1</v>
      </c>
      <c r="D609" t="s">
        <v>666</v>
      </c>
      <c r="E609" s="73"/>
      <c r="AA609" t="s">
        <v>377</v>
      </c>
      <c r="AB609" s="73">
        <v>46197</v>
      </c>
      <c r="AE609" t="s">
        <v>667</v>
      </c>
      <c r="AF609" t="s">
        <v>668</v>
      </c>
      <c r="AG609" t="s">
        <v>718</v>
      </c>
      <c r="AI609" t="s">
        <v>400</v>
      </c>
      <c r="AJ609">
        <v>1</v>
      </c>
      <c r="AK609" t="s">
        <v>372</v>
      </c>
      <c r="AP609" t="s">
        <v>374</v>
      </c>
      <c r="AQ609" s="73"/>
      <c r="BR609" s="73"/>
      <c r="CX609" s="73"/>
      <c r="EQ609" s="73"/>
    </row>
    <row r="610" spans="1:209" ht="14.25" customHeight="1" x14ac:dyDescent="0.25">
      <c r="A610" t="s">
        <v>727</v>
      </c>
      <c r="B610" t="s">
        <v>381</v>
      </c>
      <c r="C610">
        <v>1</v>
      </c>
      <c r="D610" t="s">
        <v>666</v>
      </c>
      <c r="E610" s="73"/>
      <c r="AB610" s="73"/>
      <c r="AQ610" s="73">
        <v>46197</v>
      </c>
      <c r="AT610" t="s">
        <v>677</v>
      </c>
      <c r="AU610" t="s">
        <v>383</v>
      </c>
      <c r="AV610" t="s">
        <v>385</v>
      </c>
      <c r="AW610" t="s">
        <v>385</v>
      </c>
      <c r="AX610" t="s">
        <v>385</v>
      </c>
      <c r="AY610" t="s">
        <v>385</v>
      </c>
      <c r="AZ610" t="s">
        <v>384</v>
      </c>
      <c r="BA610" t="s">
        <v>372</v>
      </c>
      <c r="BB610" t="s">
        <v>367</v>
      </c>
      <c r="BC610">
        <v>11</v>
      </c>
      <c r="BD610" t="s">
        <v>374</v>
      </c>
      <c r="BR610" s="73"/>
      <c r="CX610" s="73"/>
      <c r="EQ610" s="73"/>
    </row>
    <row r="611" spans="1:209" ht="14.25" customHeight="1" x14ac:dyDescent="0.25">
      <c r="A611" t="s">
        <v>728</v>
      </c>
      <c r="D611" t="s">
        <v>666</v>
      </c>
      <c r="E611" s="73">
        <v>46198</v>
      </c>
      <c r="H611" t="s">
        <v>368</v>
      </c>
      <c r="I611" t="s">
        <v>368</v>
      </c>
      <c r="J611">
        <v>1980</v>
      </c>
      <c r="K611" t="s">
        <v>561</v>
      </c>
      <c r="L611" t="s">
        <v>370</v>
      </c>
      <c r="M611" t="s">
        <v>371</v>
      </c>
      <c r="N611" t="s">
        <v>371</v>
      </c>
      <c r="O611" t="s">
        <v>371</v>
      </c>
      <c r="P611" t="s">
        <v>371</v>
      </c>
      <c r="Q611" t="s">
        <v>371</v>
      </c>
      <c r="R611" t="s">
        <v>372</v>
      </c>
      <c r="S611" t="s">
        <v>372</v>
      </c>
      <c r="T611" t="s">
        <v>372</v>
      </c>
      <c r="U611" t="s">
        <v>367</v>
      </c>
      <c r="W611" t="s">
        <v>367</v>
      </c>
      <c r="X611" t="s">
        <v>373</v>
      </c>
      <c r="Y611" t="s">
        <v>367</v>
      </c>
      <c r="Z611" t="s">
        <v>374</v>
      </c>
      <c r="AB611" s="73"/>
      <c r="AQ611" s="73"/>
      <c r="BG611" t="s">
        <v>371</v>
      </c>
      <c r="BH611" t="s">
        <v>371</v>
      </c>
      <c r="BI611" t="s">
        <v>371</v>
      </c>
      <c r="BJ611" t="s">
        <v>371</v>
      </c>
      <c r="BK611" t="s">
        <v>371</v>
      </c>
      <c r="BL611" t="s">
        <v>371</v>
      </c>
      <c r="BM611" t="s">
        <v>371</v>
      </c>
      <c r="BN611" t="s">
        <v>371</v>
      </c>
      <c r="BO611" t="s">
        <v>371</v>
      </c>
      <c r="BQ611" t="s">
        <v>375</v>
      </c>
      <c r="BR611" s="73"/>
      <c r="CX611" s="73"/>
      <c r="EQ611" s="73"/>
      <c r="FT611">
        <v>0</v>
      </c>
      <c r="FZ611" t="s">
        <v>371</v>
      </c>
      <c r="GA611" t="s">
        <v>371</v>
      </c>
      <c r="GB611" t="s">
        <v>371</v>
      </c>
      <c r="GC611" t="s">
        <v>371</v>
      </c>
      <c r="GD611" t="s">
        <v>371</v>
      </c>
      <c r="GF611" t="s">
        <v>371</v>
      </c>
      <c r="GG611" t="s">
        <v>371</v>
      </c>
      <c r="GH611" t="s">
        <v>371</v>
      </c>
      <c r="GI611" t="s">
        <v>371</v>
      </c>
      <c r="GJ611" t="s">
        <v>371</v>
      </c>
      <c r="GK611" t="s">
        <v>371</v>
      </c>
      <c r="GN611" t="s">
        <v>371</v>
      </c>
      <c r="GO611" t="s">
        <v>371</v>
      </c>
      <c r="GP611" t="s">
        <v>371</v>
      </c>
      <c r="GQ611" t="s">
        <v>371</v>
      </c>
      <c r="GR611" t="s">
        <v>371</v>
      </c>
      <c r="GS611" t="s">
        <v>371</v>
      </c>
      <c r="GT611" t="s">
        <v>371</v>
      </c>
      <c r="GU611" t="s">
        <v>371</v>
      </c>
      <c r="GV611" t="s">
        <v>371</v>
      </c>
      <c r="GW611" t="s">
        <v>371</v>
      </c>
      <c r="GX611" t="s">
        <v>371</v>
      </c>
      <c r="HA611" t="s">
        <v>375</v>
      </c>
    </row>
    <row r="612" spans="1:209" ht="14.25" customHeight="1" x14ac:dyDescent="0.25">
      <c r="A612" t="s">
        <v>728</v>
      </c>
      <c r="B612" t="s">
        <v>381</v>
      </c>
      <c r="C612">
        <v>1</v>
      </c>
      <c r="D612" t="s">
        <v>666</v>
      </c>
      <c r="E612" s="73"/>
      <c r="AB612" s="73"/>
      <c r="AQ612" s="73">
        <v>46198</v>
      </c>
      <c r="AT612" t="s">
        <v>680</v>
      </c>
      <c r="AU612" t="s">
        <v>385</v>
      </c>
      <c r="AV612" t="s">
        <v>385</v>
      </c>
      <c r="AW612" t="s">
        <v>383</v>
      </c>
      <c r="AX612" t="s">
        <v>385</v>
      </c>
      <c r="AY612" t="s">
        <v>384</v>
      </c>
      <c r="AZ612" t="s">
        <v>385</v>
      </c>
      <c r="BA612" t="s">
        <v>367</v>
      </c>
      <c r="BB612" t="s">
        <v>372</v>
      </c>
      <c r="BC612">
        <v>11</v>
      </c>
      <c r="BD612" t="s">
        <v>374</v>
      </c>
      <c r="BR612" s="73"/>
      <c r="CX612" s="73"/>
      <c r="EQ612" s="73"/>
    </row>
    <row r="613" spans="1:209" ht="14.25" customHeight="1" x14ac:dyDescent="0.25">
      <c r="A613" t="s">
        <v>729</v>
      </c>
      <c r="D613" t="s">
        <v>666</v>
      </c>
      <c r="E613" s="73">
        <v>46198</v>
      </c>
      <c r="H613" t="s">
        <v>368</v>
      </c>
      <c r="I613" t="s">
        <v>368</v>
      </c>
      <c r="J613">
        <v>1986</v>
      </c>
      <c r="K613" t="s">
        <v>561</v>
      </c>
      <c r="L613" t="s">
        <v>370</v>
      </c>
      <c r="M613" t="s">
        <v>371</v>
      </c>
      <c r="N613" t="s">
        <v>371</v>
      </c>
      <c r="O613" t="s">
        <v>371</v>
      </c>
      <c r="P613" t="s">
        <v>371</v>
      </c>
      <c r="Q613" t="s">
        <v>371</v>
      </c>
      <c r="R613" t="s">
        <v>372</v>
      </c>
      <c r="S613" t="s">
        <v>372</v>
      </c>
      <c r="T613" t="s">
        <v>372</v>
      </c>
      <c r="U613" t="s">
        <v>367</v>
      </c>
      <c r="W613" t="s">
        <v>367</v>
      </c>
      <c r="X613" t="s">
        <v>373</v>
      </c>
      <c r="Y613" t="s">
        <v>367</v>
      </c>
      <c r="Z613" t="s">
        <v>374</v>
      </c>
      <c r="AB613" s="73"/>
      <c r="AQ613" s="73"/>
      <c r="BG613" t="s">
        <v>371</v>
      </c>
      <c r="BH613" t="s">
        <v>371</v>
      </c>
      <c r="BI613" t="s">
        <v>371</v>
      </c>
      <c r="BJ613" t="s">
        <v>371</v>
      </c>
      <c r="BK613" t="s">
        <v>371</v>
      </c>
      <c r="BL613" t="s">
        <v>371</v>
      </c>
      <c r="BM613" t="s">
        <v>371</v>
      </c>
      <c r="BN613" t="s">
        <v>371</v>
      </c>
      <c r="BO613" t="s">
        <v>371</v>
      </c>
      <c r="BQ613" t="s">
        <v>375</v>
      </c>
      <c r="BR613" s="73"/>
      <c r="CX613" s="73"/>
      <c r="EQ613" s="73"/>
      <c r="FT613">
        <v>0</v>
      </c>
      <c r="FZ613" t="s">
        <v>371</v>
      </c>
      <c r="GA613" t="s">
        <v>371</v>
      </c>
      <c r="GB613" t="s">
        <v>371</v>
      </c>
      <c r="GC613" t="s">
        <v>371</v>
      </c>
      <c r="GD613" t="s">
        <v>371</v>
      </c>
      <c r="GF613" t="s">
        <v>371</v>
      </c>
      <c r="GG613" t="s">
        <v>371</v>
      </c>
      <c r="GH613" t="s">
        <v>371</v>
      </c>
      <c r="GI613" t="s">
        <v>371</v>
      </c>
      <c r="GJ613" t="s">
        <v>371</v>
      </c>
      <c r="GK613" t="s">
        <v>371</v>
      </c>
      <c r="GN613" t="s">
        <v>371</v>
      </c>
      <c r="GO613" t="s">
        <v>371</v>
      </c>
      <c r="GP613" t="s">
        <v>371</v>
      </c>
      <c r="GQ613" t="s">
        <v>371</v>
      </c>
      <c r="GR613" t="s">
        <v>371</v>
      </c>
      <c r="GS613" t="s">
        <v>371</v>
      </c>
      <c r="GT613" t="s">
        <v>371</v>
      </c>
      <c r="GU613" t="s">
        <v>371</v>
      </c>
      <c r="GV613" t="s">
        <v>371</v>
      </c>
      <c r="GW613" t="s">
        <v>371</v>
      </c>
      <c r="GX613" t="s">
        <v>371</v>
      </c>
      <c r="HA613" t="s">
        <v>375</v>
      </c>
    </row>
    <row r="614" spans="1:209" ht="14.25" customHeight="1" x14ac:dyDescent="0.25">
      <c r="A614" t="s">
        <v>729</v>
      </c>
      <c r="B614" t="s">
        <v>381</v>
      </c>
      <c r="C614">
        <v>1</v>
      </c>
      <c r="D614" t="s">
        <v>666</v>
      </c>
      <c r="E614" s="73"/>
      <c r="AB614" s="73"/>
      <c r="AQ614" s="73">
        <v>46198</v>
      </c>
      <c r="AT614" t="s">
        <v>677</v>
      </c>
      <c r="AU614" t="s">
        <v>385</v>
      </c>
      <c r="AV614" t="s">
        <v>383</v>
      </c>
      <c r="AW614" t="s">
        <v>385</v>
      </c>
      <c r="AX614" t="s">
        <v>404</v>
      </c>
      <c r="AY614" t="s">
        <v>383</v>
      </c>
      <c r="AZ614" t="s">
        <v>383</v>
      </c>
      <c r="BA614" t="s">
        <v>367</v>
      </c>
      <c r="BB614" t="s">
        <v>367</v>
      </c>
      <c r="BC614">
        <v>10</v>
      </c>
      <c r="BD614" t="s">
        <v>374</v>
      </c>
      <c r="BR614" s="73"/>
      <c r="CX614" s="73"/>
      <c r="EQ614" s="73"/>
    </row>
    <row r="615" spans="1:209" ht="14.25" customHeight="1" x14ac:dyDescent="0.25">
      <c r="A615" t="s">
        <v>730</v>
      </c>
      <c r="D615" t="s">
        <v>666</v>
      </c>
      <c r="E615" s="73">
        <v>46198</v>
      </c>
      <c r="H615" t="s">
        <v>368</v>
      </c>
      <c r="I615" t="s">
        <v>368</v>
      </c>
      <c r="J615">
        <v>1979</v>
      </c>
      <c r="K615" t="s">
        <v>561</v>
      </c>
      <c r="L615" t="s">
        <v>370</v>
      </c>
      <c r="M615" t="s">
        <v>371</v>
      </c>
      <c r="N615" t="s">
        <v>371</v>
      </c>
      <c r="O615" t="s">
        <v>371</v>
      </c>
      <c r="P615" t="s">
        <v>371</v>
      </c>
      <c r="Q615" t="s">
        <v>371</v>
      </c>
      <c r="R615" t="s">
        <v>372</v>
      </c>
      <c r="S615" t="s">
        <v>372</v>
      </c>
      <c r="T615" t="s">
        <v>372</v>
      </c>
      <c r="U615" t="s">
        <v>367</v>
      </c>
      <c r="W615" t="s">
        <v>367</v>
      </c>
      <c r="X615" t="s">
        <v>432</v>
      </c>
      <c r="Y615" t="s">
        <v>396</v>
      </c>
      <c r="Z615" t="s">
        <v>374</v>
      </c>
      <c r="AB615" s="73"/>
      <c r="AQ615" s="73"/>
      <c r="BG615" t="s">
        <v>371</v>
      </c>
      <c r="BH615" t="s">
        <v>371</v>
      </c>
      <c r="BI615" t="s">
        <v>371</v>
      </c>
      <c r="BJ615" t="s">
        <v>371</v>
      </c>
      <c r="BK615" t="s">
        <v>371</v>
      </c>
      <c r="BL615" t="s">
        <v>371</v>
      </c>
      <c r="BM615" t="s">
        <v>371</v>
      </c>
      <c r="BN615" t="s">
        <v>371</v>
      </c>
      <c r="BO615" t="s">
        <v>371</v>
      </c>
      <c r="BQ615" t="s">
        <v>375</v>
      </c>
      <c r="BR615" s="73"/>
      <c r="CX615" s="73"/>
      <c r="EQ615" s="73"/>
      <c r="FT615">
        <v>0</v>
      </c>
      <c r="FZ615" t="s">
        <v>371</v>
      </c>
      <c r="GA615" t="s">
        <v>371</v>
      </c>
      <c r="GB615" t="s">
        <v>371</v>
      </c>
      <c r="GC615" t="s">
        <v>371</v>
      </c>
      <c r="GD615" t="s">
        <v>371</v>
      </c>
      <c r="GF615" t="s">
        <v>371</v>
      </c>
      <c r="GG615" t="s">
        <v>371</v>
      </c>
      <c r="GH615" t="s">
        <v>371</v>
      </c>
      <c r="GI615" t="s">
        <v>371</v>
      </c>
      <c r="GJ615" t="s">
        <v>371</v>
      </c>
      <c r="GK615" t="s">
        <v>371</v>
      </c>
      <c r="GN615" t="s">
        <v>371</v>
      </c>
      <c r="GO615" t="s">
        <v>371</v>
      </c>
      <c r="GP615" t="s">
        <v>371</v>
      </c>
      <c r="GQ615" t="s">
        <v>371</v>
      </c>
      <c r="GR615" t="s">
        <v>371</v>
      </c>
      <c r="GS615" t="s">
        <v>371</v>
      </c>
      <c r="GT615" t="s">
        <v>371</v>
      </c>
      <c r="GU615" t="s">
        <v>371</v>
      </c>
      <c r="GV615" t="s">
        <v>371</v>
      </c>
      <c r="GW615" t="s">
        <v>371</v>
      </c>
      <c r="GX615" t="s">
        <v>371</v>
      </c>
      <c r="HA615" t="s">
        <v>375</v>
      </c>
    </row>
    <row r="616" spans="1:209" ht="14.25" customHeight="1" x14ac:dyDescent="0.25">
      <c r="A616" t="s">
        <v>730</v>
      </c>
      <c r="B616" t="s">
        <v>376</v>
      </c>
      <c r="C616">
        <v>1</v>
      </c>
      <c r="D616" t="s">
        <v>666</v>
      </c>
      <c r="E616" s="73"/>
      <c r="AA616" t="s">
        <v>377</v>
      </c>
      <c r="AB616" s="73">
        <v>46198</v>
      </c>
      <c r="AE616" t="s">
        <v>667</v>
      </c>
      <c r="AF616" t="s">
        <v>379</v>
      </c>
      <c r="AI616" t="s">
        <v>380</v>
      </c>
      <c r="AJ616">
        <v>1</v>
      </c>
      <c r="AK616" t="s">
        <v>372</v>
      </c>
      <c r="AP616" t="s">
        <v>374</v>
      </c>
      <c r="AQ616" s="73"/>
      <c r="BR616" s="73"/>
      <c r="CX616" s="73"/>
      <c r="EQ616" s="73"/>
    </row>
    <row r="617" spans="1:209" ht="14.25" customHeight="1" x14ac:dyDescent="0.25">
      <c r="A617" t="s">
        <v>730</v>
      </c>
      <c r="B617" t="s">
        <v>381</v>
      </c>
      <c r="C617">
        <v>1</v>
      </c>
      <c r="D617" t="s">
        <v>666</v>
      </c>
      <c r="E617" s="73"/>
      <c r="AB617" s="73"/>
      <c r="AQ617" s="73">
        <v>46198</v>
      </c>
      <c r="AT617" t="s">
        <v>674</v>
      </c>
      <c r="AU617" t="s">
        <v>383</v>
      </c>
      <c r="AV617" t="s">
        <v>383</v>
      </c>
      <c r="AW617" t="s">
        <v>383</v>
      </c>
      <c r="AX617" t="s">
        <v>385</v>
      </c>
      <c r="AY617" t="s">
        <v>383</v>
      </c>
      <c r="AZ617" t="s">
        <v>385</v>
      </c>
      <c r="BA617" t="s">
        <v>367</v>
      </c>
      <c r="BB617" t="s">
        <v>367</v>
      </c>
      <c r="BC617">
        <v>8</v>
      </c>
      <c r="BD617" t="s">
        <v>374</v>
      </c>
      <c r="BR617" s="73"/>
      <c r="CX617" s="73"/>
      <c r="EQ617" s="73"/>
    </row>
    <row r="618" spans="1:209" ht="14.25" customHeight="1" x14ac:dyDescent="0.25">
      <c r="A618" t="s">
        <v>731</v>
      </c>
      <c r="D618" t="s">
        <v>666</v>
      </c>
      <c r="E618" s="73">
        <v>46198</v>
      </c>
      <c r="H618" t="s">
        <v>368</v>
      </c>
      <c r="I618" t="s">
        <v>368</v>
      </c>
      <c r="J618">
        <v>1985</v>
      </c>
      <c r="K618" t="s">
        <v>561</v>
      </c>
      <c r="L618" t="s">
        <v>370</v>
      </c>
      <c r="M618" t="s">
        <v>371</v>
      </c>
      <c r="N618" t="s">
        <v>371</v>
      </c>
      <c r="O618" t="s">
        <v>371</v>
      </c>
      <c r="P618" t="s">
        <v>371</v>
      </c>
      <c r="Q618" t="s">
        <v>371</v>
      </c>
      <c r="R618" t="s">
        <v>372</v>
      </c>
      <c r="S618" t="s">
        <v>372</v>
      </c>
      <c r="T618" t="s">
        <v>372</v>
      </c>
      <c r="U618" t="s">
        <v>367</v>
      </c>
      <c r="W618" t="s">
        <v>367</v>
      </c>
      <c r="X618" t="s">
        <v>399</v>
      </c>
      <c r="Y618" t="s">
        <v>396</v>
      </c>
      <c r="Z618" t="s">
        <v>374</v>
      </c>
      <c r="AB618" s="73"/>
      <c r="AQ618" s="73"/>
      <c r="BG618" t="s">
        <v>371</v>
      </c>
      <c r="BH618" t="s">
        <v>371</v>
      </c>
      <c r="BI618" t="s">
        <v>371</v>
      </c>
      <c r="BJ618" t="s">
        <v>371</v>
      </c>
      <c r="BK618" t="s">
        <v>371</v>
      </c>
      <c r="BL618" t="s">
        <v>371</v>
      </c>
      <c r="BM618" t="s">
        <v>371</v>
      </c>
      <c r="BN618" t="s">
        <v>371</v>
      </c>
      <c r="BO618" t="s">
        <v>371</v>
      </c>
      <c r="BQ618" t="s">
        <v>375</v>
      </c>
      <c r="BR618" s="73"/>
      <c r="CX618" s="73"/>
      <c r="EQ618" s="73"/>
      <c r="FT618">
        <v>0</v>
      </c>
      <c r="FZ618" t="s">
        <v>371</v>
      </c>
      <c r="GA618" t="s">
        <v>371</v>
      </c>
      <c r="GB618" t="s">
        <v>371</v>
      </c>
      <c r="GC618" t="s">
        <v>371</v>
      </c>
      <c r="GD618" t="s">
        <v>371</v>
      </c>
      <c r="GF618" t="s">
        <v>371</v>
      </c>
      <c r="GG618" t="s">
        <v>371</v>
      </c>
      <c r="GH618" t="s">
        <v>371</v>
      </c>
      <c r="GI618" t="s">
        <v>371</v>
      </c>
      <c r="GJ618" t="s">
        <v>371</v>
      </c>
      <c r="GK618" t="s">
        <v>371</v>
      </c>
      <c r="GN618" t="s">
        <v>371</v>
      </c>
      <c r="GO618" t="s">
        <v>371</v>
      </c>
      <c r="GP618" t="s">
        <v>371</v>
      </c>
      <c r="GQ618" t="s">
        <v>371</v>
      </c>
      <c r="GR618" t="s">
        <v>371</v>
      </c>
      <c r="GS618" t="s">
        <v>371</v>
      </c>
      <c r="GT618" t="s">
        <v>371</v>
      </c>
      <c r="GU618" t="s">
        <v>371</v>
      </c>
      <c r="GV618" t="s">
        <v>371</v>
      </c>
      <c r="GW618" t="s">
        <v>371</v>
      </c>
      <c r="GX618" t="s">
        <v>371</v>
      </c>
      <c r="HA618" t="s">
        <v>375</v>
      </c>
    </row>
    <row r="619" spans="1:209" ht="14.25" customHeight="1" x14ac:dyDescent="0.25">
      <c r="A619" t="s">
        <v>731</v>
      </c>
      <c r="B619" t="s">
        <v>376</v>
      </c>
      <c r="C619">
        <v>1</v>
      </c>
      <c r="D619" t="s">
        <v>666</v>
      </c>
      <c r="E619" s="73"/>
      <c r="AA619" t="s">
        <v>377</v>
      </c>
      <c r="AB619" s="73">
        <v>46198</v>
      </c>
      <c r="AE619" t="s">
        <v>667</v>
      </c>
      <c r="AF619" t="s">
        <v>379</v>
      </c>
      <c r="AI619" t="s">
        <v>380</v>
      </c>
      <c r="AJ619">
        <v>1</v>
      </c>
      <c r="AK619" t="s">
        <v>372</v>
      </c>
      <c r="AP619" t="s">
        <v>374</v>
      </c>
      <c r="AQ619" s="73"/>
      <c r="BR619" s="73"/>
      <c r="CX619" s="73"/>
      <c r="EQ619" s="73"/>
    </row>
    <row r="620" spans="1:209" ht="14.25" customHeight="1" x14ac:dyDescent="0.25">
      <c r="A620" t="s">
        <v>731</v>
      </c>
      <c r="B620" t="s">
        <v>381</v>
      </c>
      <c r="C620">
        <v>1</v>
      </c>
      <c r="D620" t="s">
        <v>666</v>
      </c>
      <c r="E620" s="73"/>
      <c r="AB620" s="73"/>
      <c r="AQ620" s="73">
        <v>46198</v>
      </c>
      <c r="AT620" t="s">
        <v>680</v>
      </c>
      <c r="AU620" t="s">
        <v>383</v>
      </c>
      <c r="AV620" t="s">
        <v>385</v>
      </c>
      <c r="AW620" t="s">
        <v>384</v>
      </c>
      <c r="AX620" t="s">
        <v>385</v>
      </c>
      <c r="AY620" t="s">
        <v>383</v>
      </c>
      <c r="AZ620" t="s">
        <v>383</v>
      </c>
      <c r="BA620" t="s">
        <v>367</v>
      </c>
      <c r="BB620" t="s">
        <v>372</v>
      </c>
      <c r="BC620">
        <v>9</v>
      </c>
      <c r="BD620" t="s">
        <v>374</v>
      </c>
      <c r="BR620" s="73"/>
      <c r="CX620" s="73"/>
      <c r="EQ620" s="73"/>
    </row>
    <row r="621" spans="1:209" ht="14.25" customHeight="1" x14ac:dyDescent="0.25">
      <c r="A621" t="s">
        <v>732</v>
      </c>
      <c r="D621" t="s">
        <v>666</v>
      </c>
      <c r="E621" s="73">
        <v>46198</v>
      </c>
      <c r="H621" t="s">
        <v>368</v>
      </c>
      <c r="I621" t="s">
        <v>368</v>
      </c>
      <c r="J621">
        <v>2004</v>
      </c>
      <c r="K621" t="s">
        <v>561</v>
      </c>
      <c r="L621" t="s">
        <v>371</v>
      </c>
      <c r="M621" t="s">
        <v>371</v>
      </c>
      <c r="N621" t="s">
        <v>371</v>
      </c>
      <c r="O621" t="s">
        <v>371</v>
      </c>
      <c r="P621" t="s">
        <v>371</v>
      </c>
      <c r="Q621" t="s">
        <v>370</v>
      </c>
      <c r="R621" t="s">
        <v>372</v>
      </c>
      <c r="S621" t="s">
        <v>372</v>
      </c>
      <c r="T621" t="s">
        <v>372</v>
      </c>
      <c r="U621" t="s">
        <v>367</v>
      </c>
      <c r="W621" t="s">
        <v>367</v>
      </c>
      <c r="X621" t="s">
        <v>373</v>
      </c>
      <c r="Y621" t="s">
        <v>367</v>
      </c>
      <c r="Z621" t="s">
        <v>374</v>
      </c>
      <c r="AB621" s="73"/>
      <c r="AQ621" s="73"/>
      <c r="BG621" t="s">
        <v>371</v>
      </c>
      <c r="BH621" t="s">
        <v>371</v>
      </c>
      <c r="BI621" t="s">
        <v>371</v>
      </c>
      <c r="BJ621" t="s">
        <v>371</v>
      </c>
      <c r="BK621" t="s">
        <v>371</v>
      </c>
      <c r="BL621" t="s">
        <v>371</v>
      </c>
      <c r="BM621" t="s">
        <v>371</v>
      </c>
      <c r="BN621" t="s">
        <v>371</v>
      </c>
      <c r="BO621" t="s">
        <v>371</v>
      </c>
      <c r="BQ621" t="s">
        <v>375</v>
      </c>
      <c r="BR621" s="73"/>
      <c r="CX621" s="73"/>
      <c r="EQ621" s="73"/>
      <c r="FT621">
        <v>0</v>
      </c>
      <c r="FZ621" t="s">
        <v>371</v>
      </c>
      <c r="GA621" t="s">
        <v>371</v>
      </c>
      <c r="GB621" t="s">
        <v>371</v>
      </c>
      <c r="GC621" t="s">
        <v>371</v>
      </c>
      <c r="GD621" t="s">
        <v>371</v>
      </c>
      <c r="GF621" t="s">
        <v>371</v>
      </c>
      <c r="GG621" t="s">
        <v>371</v>
      </c>
      <c r="GH621" t="s">
        <v>371</v>
      </c>
      <c r="GI621" t="s">
        <v>371</v>
      </c>
      <c r="GJ621" t="s">
        <v>371</v>
      </c>
      <c r="GK621" t="s">
        <v>371</v>
      </c>
      <c r="GN621" t="s">
        <v>371</v>
      </c>
      <c r="GO621" t="s">
        <v>371</v>
      </c>
      <c r="GP621" t="s">
        <v>371</v>
      </c>
      <c r="GQ621" t="s">
        <v>371</v>
      </c>
      <c r="GR621" t="s">
        <v>371</v>
      </c>
      <c r="GS621" t="s">
        <v>371</v>
      </c>
      <c r="GT621" t="s">
        <v>371</v>
      </c>
      <c r="GU621" t="s">
        <v>371</v>
      </c>
      <c r="GV621" t="s">
        <v>371</v>
      </c>
      <c r="GW621" t="s">
        <v>371</v>
      </c>
      <c r="GX621" t="s">
        <v>371</v>
      </c>
      <c r="HA621" t="s">
        <v>375</v>
      </c>
    </row>
    <row r="622" spans="1:209" ht="14.25" customHeight="1" x14ac:dyDescent="0.25">
      <c r="A622" t="s">
        <v>732</v>
      </c>
      <c r="B622" t="s">
        <v>376</v>
      </c>
      <c r="C622">
        <v>1</v>
      </c>
      <c r="D622" t="s">
        <v>666</v>
      </c>
      <c r="E622" s="73"/>
      <c r="AA622" t="s">
        <v>377</v>
      </c>
      <c r="AB622" s="73">
        <v>46198</v>
      </c>
      <c r="AE622" t="s">
        <v>667</v>
      </c>
      <c r="AF622" t="s">
        <v>379</v>
      </c>
      <c r="AI622" t="s">
        <v>380</v>
      </c>
      <c r="AJ622">
        <v>1</v>
      </c>
      <c r="AK622" t="s">
        <v>372</v>
      </c>
      <c r="AP622" t="s">
        <v>374</v>
      </c>
      <c r="AQ622" s="73"/>
      <c r="BR622" s="73"/>
      <c r="CX622" s="73"/>
      <c r="EQ622" s="73"/>
    </row>
    <row r="623" spans="1:209" ht="14.25" customHeight="1" x14ac:dyDescent="0.25">
      <c r="A623" t="s">
        <v>733</v>
      </c>
      <c r="D623" t="s">
        <v>666</v>
      </c>
      <c r="E623" s="73">
        <v>46198</v>
      </c>
      <c r="H623" t="s">
        <v>403</v>
      </c>
      <c r="I623" t="s">
        <v>403</v>
      </c>
      <c r="J623">
        <v>1990</v>
      </c>
      <c r="K623" t="s">
        <v>448</v>
      </c>
      <c r="L623" t="s">
        <v>370</v>
      </c>
      <c r="M623" t="s">
        <v>371</v>
      </c>
      <c r="N623" t="s">
        <v>371</v>
      </c>
      <c r="O623" t="s">
        <v>371</v>
      </c>
      <c r="P623" t="s">
        <v>371</v>
      </c>
      <c r="Q623" t="s">
        <v>371</v>
      </c>
      <c r="R623" t="s">
        <v>372</v>
      </c>
      <c r="S623" t="s">
        <v>372</v>
      </c>
      <c r="T623" t="s">
        <v>372</v>
      </c>
      <c r="U623" t="s">
        <v>367</v>
      </c>
      <c r="W623" t="s">
        <v>367</v>
      </c>
      <c r="X623" t="s">
        <v>373</v>
      </c>
      <c r="Y623" t="s">
        <v>367</v>
      </c>
      <c r="Z623" t="s">
        <v>374</v>
      </c>
      <c r="AB623" s="73"/>
      <c r="AQ623" s="73"/>
      <c r="BG623" t="s">
        <v>371</v>
      </c>
      <c r="BH623" t="s">
        <v>371</v>
      </c>
      <c r="BI623" t="s">
        <v>371</v>
      </c>
      <c r="BJ623" t="s">
        <v>371</v>
      </c>
      <c r="BK623" t="s">
        <v>371</v>
      </c>
      <c r="BL623" t="s">
        <v>371</v>
      </c>
      <c r="BM623" t="s">
        <v>371</v>
      </c>
      <c r="BN623" t="s">
        <v>371</v>
      </c>
      <c r="BO623" t="s">
        <v>371</v>
      </c>
      <c r="BQ623" t="s">
        <v>375</v>
      </c>
      <c r="BR623" s="73"/>
      <c r="CX623" s="73"/>
      <c r="EQ623" s="73"/>
      <c r="FT623">
        <v>0</v>
      </c>
      <c r="FZ623" t="s">
        <v>371</v>
      </c>
      <c r="GA623" t="s">
        <v>371</v>
      </c>
      <c r="GB623" t="s">
        <v>371</v>
      </c>
      <c r="GC623" t="s">
        <v>371</v>
      </c>
      <c r="GD623" t="s">
        <v>371</v>
      </c>
      <c r="GF623" t="s">
        <v>371</v>
      </c>
      <c r="GG623" t="s">
        <v>371</v>
      </c>
      <c r="GH623" t="s">
        <v>371</v>
      </c>
      <c r="GI623" t="s">
        <v>371</v>
      </c>
      <c r="GJ623" t="s">
        <v>371</v>
      </c>
      <c r="GK623" t="s">
        <v>371</v>
      </c>
      <c r="GN623" t="s">
        <v>371</v>
      </c>
      <c r="GO623" t="s">
        <v>371</v>
      </c>
      <c r="GP623" t="s">
        <v>371</v>
      </c>
      <c r="GQ623" t="s">
        <v>371</v>
      </c>
      <c r="GR623" t="s">
        <v>371</v>
      </c>
      <c r="GS623" t="s">
        <v>371</v>
      </c>
      <c r="GT623" t="s">
        <v>371</v>
      </c>
      <c r="GU623" t="s">
        <v>371</v>
      </c>
      <c r="GV623" t="s">
        <v>371</v>
      </c>
      <c r="GW623" t="s">
        <v>371</v>
      </c>
      <c r="GX623" t="s">
        <v>371</v>
      </c>
      <c r="HA623" t="s">
        <v>375</v>
      </c>
    </row>
    <row r="624" spans="1:209" ht="14.25" customHeight="1" x14ac:dyDescent="0.25">
      <c r="A624" t="s">
        <v>733</v>
      </c>
      <c r="B624" t="s">
        <v>376</v>
      </c>
      <c r="C624">
        <v>1</v>
      </c>
      <c r="D624" t="s">
        <v>666</v>
      </c>
      <c r="E624" s="73"/>
      <c r="AA624" t="s">
        <v>377</v>
      </c>
      <c r="AB624" s="73">
        <v>46198</v>
      </c>
      <c r="AE624" t="s">
        <v>667</v>
      </c>
      <c r="AF624" t="s">
        <v>379</v>
      </c>
      <c r="AI624" t="s">
        <v>380</v>
      </c>
      <c r="AJ624">
        <v>1</v>
      </c>
      <c r="AK624" t="s">
        <v>372</v>
      </c>
      <c r="AP624" t="s">
        <v>374</v>
      </c>
      <c r="AQ624" s="73"/>
      <c r="BR624" s="73"/>
      <c r="CX624" s="73"/>
      <c r="EQ624" s="73"/>
    </row>
    <row r="625" spans="1:209" ht="14.25" customHeight="1" x14ac:dyDescent="0.25">
      <c r="A625" t="s">
        <v>733</v>
      </c>
      <c r="B625" t="s">
        <v>381</v>
      </c>
      <c r="C625">
        <v>1</v>
      </c>
      <c r="D625" t="s">
        <v>666</v>
      </c>
      <c r="E625" s="73"/>
      <c r="AB625" s="73"/>
      <c r="AQ625" s="73">
        <v>46198</v>
      </c>
      <c r="AT625" t="s">
        <v>674</v>
      </c>
      <c r="AU625" t="s">
        <v>383</v>
      </c>
      <c r="AV625" t="s">
        <v>383</v>
      </c>
      <c r="AW625" t="s">
        <v>384</v>
      </c>
      <c r="AX625" t="s">
        <v>383</v>
      </c>
      <c r="AY625" t="s">
        <v>384</v>
      </c>
      <c r="AZ625" t="s">
        <v>385</v>
      </c>
      <c r="BA625" t="s">
        <v>367</v>
      </c>
      <c r="BB625" t="s">
        <v>367</v>
      </c>
      <c r="BC625">
        <v>5</v>
      </c>
      <c r="BD625" t="s">
        <v>374</v>
      </c>
      <c r="BR625" s="73"/>
      <c r="CX625" s="73"/>
      <c r="EQ625" s="73"/>
    </row>
    <row r="626" spans="1:209" ht="14.25" customHeight="1" x14ac:dyDescent="0.25">
      <c r="A626" t="s">
        <v>734</v>
      </c>
      <c r="D626" t="s">
        <v>666</v>
      </c>
      <c r="E626" s="73">
        <v>46198</v>
      </c>
      <c r="H626" t="s">
        <v>403</v>
      </c>
      <c r="I626" t="s">
        <v>403</v>
      </c>
      <c r="J626">
        <v>1994</v>
      </c>
      <c r="K626" t="s">
        <v>448</v>
      </c>
      <c r="L626" t="s">
        <v>370</v>
      </c>
      <c r="M626" t="s">
        <v>371</v>
      </c>
      <c r="N626" t="s">
        <v>371</v>
      </c>
      <c r="O626" t="s">
        <v>371</v>
      </c>
      <c r="P626" t="s">
        <v>371</v>
      </c>
      <c r="Q626" t="s">
        <v>371</v>
      </c>
      <c r="R626" t="s">
        <v>372</v>
      </c>
      <c r="S626" t="s">
        <v>372</v>
      </c>
      <c r="T626" t="s">
        <v>372</v>
      </c>
      <c r="U626" t="s">
        <v>367</v>
      </c>
      <c r="W626" t="s">
        <v>367</v>
      </c>
      <c r="X626" t="s">
        <v>432</v>
      </c>
      <c r="Y626" t="s">
        <v>396</v>
      </c>
      <c r="Z626" t="s">
        <v>374</v>
      </c>
      <c r="AB626" s="73"/>
      <c r="AQ626" s="73"/>
      <c r="BG626" t="s">
        <v>371</v>
      </c>
      <c r="BH626" t="s">
        <v>371</v>
      </c>
      <c r="BI626" t="s">
        <v>371</v>
      </c>
      <c r="BJ626" t="s">
        <v>371</v>
      </c>
      <c r="BK626" t="s">
        <v>371</v>
      </c>
      <c r="BL626" t="s">
        <v>371</v>
      </c>
      <c r="BM626" t="s">
        <v>371</v>
      </c>
      <c r="BN626" t="s">
        <v>371</v>
      </c>
      <c r="BO626" t="s">
        <v>371</v>
      </c>
      <c r="BQ626" t="s">
        <v>375</v>
      </c>
      <c r="BR626" s="73"/>
      <c r="CX626" s="73"/>
      <c r="EQ626" s="73"/>
      <c r="FT626">
        <v>0</v>
      </c>
      <c r="FZ626" t="s">
        <v>371</v>
      </c>
      <c r="GA626" t="s">
        <v>371</v>
      </c>
      <c r="GB626" t="s">
        <v>371</v>
      </c>
      <c r="GC626" t="s">
        <v>371</v>
      </c>
      <c r="GD626" t="s">
        <v>371</v>
      </c>
      <c r="GF626" t="s">
        <v>371</v>
      </c>
      <c r="GG626" t="s">
        <v>371</v>
      </c>
      <c r="GH626" t="s">
        <v>371</v>
      </c>
      <c r="GI626" t="s">
        <v>371</v>
      </c>
      <c r="GJ626" t="s">
        <v>371</v>
      </c>
      <c r="GK626" t="s">
        <v>371</v>
      </c>
      <c r="GN626" t="s">
        <v>371</v>
      </c>
      <c r="GO626" t="s">
        <v>371</v>
      </c>
      <c r="GP626" t="s">
        <v>371</v>
      </c>
      <c r="GQ626" t="s">
        <v>371</v>
      </c>
      <c r="GR626" t="s">
        <v>371</v>
      </c>
      <c r="GS626" t="s">
        <v>371</v>
      </c>
      <c r="GT626" t="s">
        <v>371</v>
      </c>
      <c r="GU626" t="s">
        <v>371</v>
      </c>
      <c r="GV626" t="s">
        <v>371</v>
      </c>
      <c r="GW626" t="s">
        <v>371</v>
      </c>
      <c r="GX626" t="s">
        <v>371</v>
      </c>
      <c r="HA626" t="s">
        <v>375</v>
      </c>
    </row>
    <row r="627" spans="1:209" ht="14.25" customHeight="1" x14ac:dyDescent="0.25">
      <c r="A627" t="s">
        <v>734</v>
      </c>
      <c r="B627" t="s">
        <v>376</v>
      </c>
      <c r="C627">
        <v>1</v>
      </c>
      <c r="D627" t="s">
        <v>666</v>
      </c>
      <c r="E627" s="73"/>
      <c r="AA627" t="s">
        <v>377</v>
      </c>
      <c r="AB627" s="73">
        <v>46198</v>
      </c>
      <c r="AE627" t="s">
        <v>667</v>
      </c>
      <c r="AF627" t="s">
        <v>379</v>
      </c>
      <c r="AI627" t="s">
        <v>380</v>
      </c>
      <c r="AJ627">
        <v>1</v>
      </c>
      <c r="AK627" t="s">
        <v>372</v>
      </c>
      <c r="AP627" t="s">
        <v>374</v>
      </c>
      <c r="AQ627" s="73"/>
      <c r="BR627" s="73"/>
      <c r="CX627" s="73"/>
      <c r="EQ627" s="73"/>
    </row>
    <row r="628" spans="1:209" ht="14.25" customHeight="1" x14ac:dyDescent="0.25">
      <c r="A628" t="s">
        <v>734</v>
      </c>
      <c r="B628" t="s">
        <v>381</v>
      </c>
      <c r="C628">
        <v>1</v>
      </c>
      <c r="D628" t="s">
        <v>666</v>
      </c>
      <c r="E628" s="73"/>
      <c r="AB628" s="73"/>
      <c r="AQ628" s="73">
        <v>46198</v>
      </c>
      <c r="AT628" t="s">
        <v>680</v>
      </c>
      <c r="AU628" t="s">
        <v>385</v>
      </c>
      <c r="AV628" t="s">
        <v>383</v>
      </c>
      <c r="AW628" t="s">
        <v>384</v>
      </c>
      <c r="AX628" t="s">
        <v>383</v>
      </c>
      <c r="AY628" t="s">
        <v>383</v>
      </c>
      <c r="AZ628" t="s">
        <v>383</v>
      </c>
      <c r="BA628" t="s">
        <v>367</v>
      </c>
      <c r="BB628" t="s">
        <v>367</v>
      </c>
      <c r="BC628">
        <v>6</v>
      </c>
      <c r="BD628" t="s">
        <v>374</v>
      </c>
      <c r="BR628" s="73"/>
      <c r="CX628" s="73"/>
      <c r="EQ628" s="73"/>
    </row>
    <row r="629" spans="1:209" ht="14.25" customHeight="1" x14ac:dyDescent="0.25">
      <c r="A629" t="s">
        <v>735</v>
      </c>
      <c r="D629" t="s">
        <v>666</v>
      </c>
      <c r="E629" s="73">
        <v>46198</v>
      </c>
      <c r="H629" t="s">
        <v>368</v>
      </c>
      <c r="I629" t="s">
        <v>368</v>
      </c>
      <c r="J629">
        <v>2000</v>
      </c>
      <c r="K629" t="s">
        <v>561</v>
      </c>
      <c r="L629" t="s">
        <v>370</v>
      </c>
      <c r="M629" t="s">
        <v>371</v>
      </c>
      <c r="N629" t="s">
        <v>371</v>
      </c>
      <c r="O629" t="s">
        <v>371</v>
      </c>
      <c r="P629" t="s">
        <v>371</v>
      </c>
      <c r="Q629" t="s">
        <v>371</v>
      </c>
      <c r="R629" t="s">
        <v>372</v>
      </c>
      <c r="S629" t="s">
        <v>372</v>
      </c>
      <c r="T629" t="s">
        <v>367</v>
      </c>
      <c r="U629" t="s">
        <v>367</v>
      </c>
      <c r="W629" t="s">
        <v>367</v>
      </c>
      <c r="X629" t="s">
        <v>373</v>
      </c>
      <c r="Y629" t="s">
        <v>367</v>
      </c>
      <c r="Z629" t="s">
        <v>374</v>
      </c>
      <c r="AB629" s="73"/>
      <c r="AQ629" s="73"/>
      <c r="BG629" t="s">
        <v>371</v>
      </c>
      <c r="BH629" t="s">
        <v>371</v>
      </c>
      <c r="BI629" t="s">
        <v>371</v>
      </c>
      <c r="BJ629" t="s">
        <v>371</v>
      </c>
      <c r="BK629" t="s">
        <v>371</v>
      </c>
      <c r="BL629" t="s">
        <v>371</v>
      </c>
      <c r="BM629" t="s">
        <v>371</v>
      </c>
      <c r="BN629" t="s">
        <v>371</v>
      </c>
      <c r="BO629" t="s">
        <v>371</v>
      </c>
      <c r="BQ629" t="s">
        <v>375</v>
      </c>
      <c r="BR629" s="73"/>
      <c r="CX629" s="73"/>
      <c r="EQ629" s="73"/>
      <c r="FT629">
        <v>0</v>
      </c>
      <c r="FZ629" t="s">
        <v>371</v>
      </c>
      <c r="GA629" t="s">
        <v>371</v>
      </c>
      <c r="GB629" t="s">
        <v>371</v>
      </c>
      <c r="GC629" t="s">
        <v>371</v>
      </c>
      <c r="GD629" t="s">
        <v>371</v>
      </c>
      <c r="GF629" t="s">
        <v>371</v>
      </c>
      <c r="GG629" t="s">
        <v>371</v>
      </c>
      <c r="GH629" t="s">
        <v>371</v>
      </c>
      <c r="GI629" t="s">
        <v>371</v>
      </c>
      <c r="GJ629" t="s">
        <v>371</v>
      </c>
      <c r="GK629" t="s">
        <v>371</v>
      </c>
      <c r="GN629" t="s">
        <v>371</v>
      </c>
      <c r="GO629" t="s">
        <v>371</v>
      </c>
      <c r="GP629" t="s">
        <v>371</v>
      </c>
      <c r="GQ629" t="s">
        <v>371</v>
      </c>
      <c r="GR629" t="s">
        <v>371</v>
      </c>
      <c r="GS629" t="s">
        <v>371</v>
      </c>
      <c r="GT629" t="s">
        <v>371</v>
      </c>
      <c r="GU629" t="s">
        <v>371</v>
      </c>
      <c r="GV629" t="s">
        <v>371</v>
      </c>
      <c r="GW629" t="s">
        <v>371</v>
      </c>
      <c r="GX629" t="s">
        <v>371</v>
      </c>
      <c r="HA629" t="s">
        <v>375</v>
      </c>
    </row>
    <row r="630" spans="1:209" ht="14.25" customHeight="1" x14ac:dyDescent="0.25">
      <c r="A630" t="s">
        <v>735</v>
      </c>
      <c r="B630" t="s">
        <v>376</v>
      </c>
      <c r="C630">
        <v>1</v>
      </c>
      <c r="D630" t="s">
        <v>666</v>
      </c>
      <c r="E630" s="73"/>
      <c r="AA630" t="s">
        <v>377</v>
      </c>
      <c r="AB630" s="73">
        <v>46198</v>
      </c>
      <c r="AE630" t="s">
        <v>667</v>
      </c>
      <c r="AF630" t="s">
        <v>379</v>
      </c>
      <c r="AI630" t="s">
        <v>380</v>
      </c>
      <c r="AJ630">
        <v>1</v>
      </c>
      <c r="AK630" t="s">
        <v>372</v>
      </c>
      <c r="AP630" t="s">
        <v>374</v>
      </c>
      <c r="AQ630" s="73"/>
      <c r="BR630" s="73"/>
      <c r="CX630" s="73"/>
      <c r="EQ630" s="73"/>
    </row>
    <row r="631" spans="1:209" ht="14.25" customHeight="1" x14ac:dyDescent="0.25">
      <c r="A631" t="s">
        <v>735</v>
      </c>
      <c r="B631" t="s">
        <v>381</v>
      </c>
      <c r="C631">
        <v>1</v>
      </c>
      <c r="D631" t="s">
        <v>666</v>
      </c>
      <c r="E631" s="73"/>
      <c r="AB631" s="73"/>
      <c r="AQ631" s="73">
        <v>46198</v>
      </c>
      <c r="AT631" t="s">
        <v>674</v>
      </c>
      <c r="AU631" t="s">
        <v>385</v>
      </c>
      <c r="AV631" t="s">
        <v>383</v>
      </c>
      <c r="AW631" t="s">
        <v>384</v>
      </c>
      <c r="AX631" t="s">
        <v>383</v>
      </c>
      <c r="AY631" t="s">
        <v>383</v>
      </c>
      <c r="AZ631" t="s">
        <v>383</v>
      </c>
      <c r="BA631" t="s">
        <v>367</v>
      </c>
      <c r="BB631" t="s">
        <v>367</v>
      </c>
      <c r="BC631">
        <v>6</v>
      </c>
      <c r="BD631" t="s">
        <v>374</v>
      </c>
      <c r="BR631" s="73"/>
      <c r="CX631" s="73"/>
      <c r="EQ631" s="73"/>
    </row>
    <row r="632" spans="1:209" ht="14.25" customHeight="1" x14ac:dyDescent="0.25">
      <c r="A632" t="s">
        <v>736</v>
      </c>
      <c r="D632" t="s">
        <v>666</v>
      </c>
      <c r="E632" s="73">
        <v>46198</v>
      </c>
      <c r="H632" t="s">
        <v>368</v>
      </c>
      <c r="I632" t="s">
        <v>368</v>
      </c>
      <c r="J632">
        <v>1995</v>
      </c>
      <c r="K632" t="s">
        <v>561</v>
      </c>
      <c r="L632" t="s">
        <v>371</v>
      </c>
      <c r="M632" t="s">
        <v>370</v>
      </c>
      <c r="N632" t="s">
        <v>371</v>
      </c>
      <c r="O632" t="s">
        <v>371</v>
      </c>
      <c r="P632" t="s">
        <v>371</v>
      </c>
      <c r="Q632" t="s">
        <v>371</v>
      </c>
      <c r="R632" t="s">
        <v>372</v>
      </c>
      <c r="S632" t="s">
        <v>372</v>
      </c>
      <c r="T632" t="s">
        <v>372</v>
      </c>
      <c r="U632" t="s">
        <v>367</v>
      </c>
      <c r="W632" t="s">
        <v>372</v>
      </c>
      <c r="X632" t="s">
        <v>373</v>
      </c>
      <c r="Y632" t="s">
        <v>367</v>
      </c>
      <c r="Z632" t="s">
        <v>374</v>
      </c>
      <c r="AB632" s="73"/>
      <c r="AQ632" s="73"/>
      <c r="BG632" t="s">
        <v>371</v>
      </c>
      <c r="BH632" t="s">
        <v>371</v>
      </c>
      <c r="BI632" t="s">
        <v>371</v>
      </c>
      <c r="BJ632" t="s">
        <v>371</v>
      </c>
      <c r="BK632" t="s">
        <v>371</v>
      </c>
      <c r="BL632" t="s">
        <v>371</v>
      </c>
      <c r="BM632" t="s">
        <v>371</v>
      </c>
      <c r="BN632" t="s">
        <v>371</v>
      </c>
      <c r="BO632" t="s">
        <v>371</v>
      </c>
      <c r="BQ632" t="s">
        <v>375</v>
      </c>
      <c r="BR632" s="73"/>
      <c r="CX632" s="73"/>
      <c r="EQ632" s="73"/>
      <c r="FT632">
        <v>0</v>
      </c>
      <c r="FZ632" t="s">
        <v>371</v>
      </c>
      <c r="GA632" t="s">
        <v>371</v>
      </c>
      <c r="GB632" t="s">
        <v>371</v>
      </c>
      <c r="GC632" t="s">
        <v>371</v>
      </c>
      <c r="GD632" t="s">
        <v>371</v>
      </c>
      <c r="GF632" t="s">
        <v>371</v>
      </c>
      <c r="GG632" t="s">
        <v>371</v>
      </c>
      <c r="GH632" t="s">
        <v>371</v>
      </c>
      <c r="GI632" t="s">
        <v>371</v>
      </c>
      <c r="GJ632" t="s">
        <v>371</v>
      </c>
      <c r="GK632" t="s">
        <v>371</v>
      </c>
      <c r="GN632" t="s">
        <v>371</v>
      </c>
      <c r="GO632" t="s">
        <v>371</v>
      </c>
      <c r="GP632" t="s">
        <v>371</v>
      </c>
      <c r="GQ632" t="s">
        <v>371</v>
      </c>
      <c r="GR632" t="s">
        <v>371</v>
      </c>
      <c r="GS632" t="s">
        <v>371</v>
      </c>
      <c r="GT632" t="s">
        <v>371</v>
      </c>
      <c r="GU632" t="s">
        <v>371</v>
      </c>
      <c r="GV632" t="s">
        <v>371</v>
      </c>
      <c r="GW632" t="s">
        <v>371</v>
      </c>
      <c r="GX632" t="s">
        <v>371</v>
      </c>
      <c r="HA632" t="s">
        <v>375</v>
      </c>
    </row>
    <row r="633" spans="1:209" ht="14.25" customHeight="1" x14ac:dyDescent="0.25">
      <c r="A633" t="s">
        <v>736</v>
      </c>
      <c r="B633" t="s">
        <v>376</v>
      </c>
      <c r="C633">
        <v>1</v>
      </c>
      <c r="D633" t="s">
        <v>666</v>
      </c>
      <c r="E633" s="73"/>
      <c r="AA633" t="s">
        <v>377</v>
      </c>
      <c r="AB633" s="73">
        <v>46198</v>
      </c>
      <c r="AE633" t="s">
        <v>667</v>
      </c>
      <c r="AF633" t="s">
        <v>379</v>
      </c>
      <c r="AI633" t="s">
        <v>380</v>
      </c>
      <c r="AJ633">
        <v>1</v>
      </c>
      <c r="AK633" t="s">
        <v>372</v>
      </c>
      <c r="AP633" t="s">
        <v>374</v>
      </c>
      <c r="AQ633" s="73"/>
      <c r="BR633" s="73"/>
      <c r="CX633" s="73"/>
      <c r="EQ633" s="73"/>
    </row>
    <row r="634" spans="1:209" ht="14.25" customHeight="1" x14ac:dyDescent="0.25">
      <c r="A634" t="s">
        <v>736</v>
      </c>
      <c r="B634" t="s">
        <v>381</v>
      </c>
      <c r="C634">
        <v>1</v>
      </c>
      <c r="D634" t="s">
        <v>666</v>
      </c>
      <c r="E634" s="73"/>
      <c r="AB634" s="73"/>
      <c r="AQ634" s="73">
        <v>46198</v>
      </c>
      <c r="AT634" t="s">
        <v>674</v>
      </c>
      <c r="AU634" t="s">
        <v>383</v>
      </c>
      <c r="AV634" t="s">
        <v>383</v>
      </c>
      <c r="AW634" t="s">
        <v>384</v>
      </c>
      <c r="AX634" t="s">
        <v>385</v>
      </c>
      <c r="AY634" t="s">
        <v>384</v>
      </c>
      <c r="AZ634" t="s">
        <v>383</v>
      </c>
      <c r="BA634" t="s">
        <v>367</v>
      </c>
      <c r="BB634" t="s">
        <v>367</v>
      </c>
      <c r="BC634">
        <v>5</v>
      </c>
      <c r="BD634" t="s">
        <v>374</v>
      </c>
      <c r="BR634" s="73"/>
      <c r="CX634" s="73"/>
      <c r="EQ634" s="73"/>
    </row>
    <row r="635" spans="1:209" ht="14.25" customHeight="1" x14ac:dyDescent="0.25">
      <c r="A635" t="s">
        <v>737</v>
      </c>
      <c r="D635" t="s">
        <v>666</v>
      </c>
      <c r="E635" s="73">
        <v>46198</v>
      </c>
      <c r="H635" t="s">
        <v>368</v>
      </c>
      <c r="I635" t="s">
        <v>368</v>
      </c>
      <c r="J635">
        <v>1996</v>
      </c>
      <c r="K635" t="s">
        <v>561</v>
      </c>
      <c r="L635" t="s">
        <v>370</v>
      </c>
      <c r="M635" t="s">
        <v>371</v>
      </c>
      <c r="N635" t="s">
        <v>371</v>
      </c>
      <c r="O635" t="s">
        <v>371</v>
      </c>
      <c r="P635" t="s">
        <v>371</v>
      </c>
      <c r="Q635" t="s">
        <v>371</v>
      </c>
      <c r="R635" t="s">
        <v>372</v>
      </c>
      <c r="S635" t="s">
        <v>372</v>
      </c>
      <c r="T635" t="s">
        <v>372</v>
      </c>
      <c r="U635" t="s">
        <v>367</v>
      </c>
      <c r="W635" t="s">
        <v>372</v>
      </c>
      <c r="X635" t="s">
        <v>373</v>
      </c>
      <c r="Y635" t="s">
        <v>367</v>
      </c>
      <c r="Z635" t="s">
        <v>374</v>
      </c>
      <c r="AB635" s="73"/>
      <c r="AQ635" s="73"/>
      <c r="BG635" t="s">
        <v>371</v>
      </c>
      <c r="BH635" t="s">
        <v>371</v>
      </c>
      <c r="BI635" t="s">
        <v>371</v>
      </c>
      <c r="BJ635" t="s">
        <v>371</v>
      </c>
      <c r="BK635" t="s">
        <v>371</v>
      </c>
      <c r="BL635" t="s">
        <v>371</v>
      </c>
      <c r="BM635" t="s">
        <v>371</v>
      </c>
      <c r="BN635" t="s">
        <v>371</v>
      </c>
      <c r="BO635" t="s">
        <v>371</v>
      </c>
      <c r="BQ635" t="s">
        <v>375</v>
      </c>
      <c r="BR635" s="73"/>
      <c r="CX635" s="73"/>
      <c r="EQ635" s="73"/>
      <c r="FT635">
        <v>0</v>
      </c>
      <c r="FZ635" t="s">
        <v>371</v>
      </c>
      <c r="GA635" t="s">
        <v>371</v>
      </c>
      <c r="GB635" t="s">
        <v>371</v>
      </c>
      <c r="GC635" t="s">
        <v>371</v>
      </c>
      <c r="GD635" t="s">
        <v>371</v>
      </c>
      <c r="GF635" t="s">
        <v>371</v>
      </c>
      <c r="GG635" t="s">
        <v>371</v>
      </c>
      <c r="GH635" t="s">
        <v>371</v>
      </c>
      <c r="GI635" t="s">
        <v>371</v>
      </c>
      <c r="GJ635" t="s">
        <v>371</v>
      </c>
      <c r="GK635" t="s">
        <v>371</v>
      </c>
      <c r="GN635" t="s">
        <v>371</v>
      </c>
      <c r="GO635" t="s">
        <v>371</v>
      </c>
      <c r="GP635" t="s">
        <v>371</v>
      </c>
      <c r="GQ635" t="s">
        <v>371</v>
      </c>
      <c r="GR635" t="s">
        <v>371</v>
      </c>
      <c r="GS635" t="s">
        <v>371</v>
      </c>
      <c r="GT635" t="s">
        <v>371</v>
      </c>
      <c r="GU635" t="s">
        <v>371</v>
      </c>
      <c r="GV635" t="s">
        <v>371</v>
      </c>
      <c r="GW635" t="s">
        <v>371</v>
      </c>
      <c r="GX635" t="s">
        <v>371</v>
      </c>
      <c r="HA635" t="s">
        <v>375</v>
      </c>
    </row>
    <row r="636" spans="1:209" ht="14.25" customHeight="1" x14ac:dyDescent="0.25">
      <c r="A636" t="s">
        <v>737</v>
      </c>
      <c r="B636" t="s">
        <v>376</v>
      </c>
      <c r="C636">
        <v>1</v>
      </c>
      <c r="D636" t="s">
        <v>666</v>
      </c>
      <c r="E636" s="73"/>
      <c r="AA636" t="s">
        <v>377</v>
      </c>
      <c r="AB636" s="73">
        <v>46198</v>
      </c>
      <c r="AE636" t="s">
        <v>667</v>
      </c>
      <c r="AF636" t="s">
        <v>379</v>
      </c>
      <c r="AI636" t="s">
        <v>380</v>
      </c>
      <c r="AJ636">
        <v>1</v>
      </c>
      <c r="AK636" t="s">
        <v>372</v>
      </c>
      <c r="AP636" t="s">
        <v>374</v>
      </c>
      <c r="AQ636" s="73"/>
      <c r="BR636" s="73"/>
      <c r="CX636" s="73"/>
      <c r="EQ636" s="73"/>
    </row>
    <row r="637" spans="1:209" ht="14.25" customHeight="1" x14ac:dyDescent="0.25">
      <c r="A637" t="s">
        <v>738</v>
      </c>
      <c r="D637" t="s">
        <v>666</v>
      </c>
      <c r="E637" s="73">
        <v>46198</v>
      </c>
      <c r="H637" t="s">
        <v>368</v>
      </c>
      <c r="I637" t="s">
        <v>368</v>
      </c>
      <c r="J637">
        <v>2004</v>
      </c>
      <c r="K637" t="s">
        <v>561</v>
      </c>
      <c r="L637" t="s">
        <v>370</v>
      </c>
      <c r="M637" t="s">
        <v>371</v>
      </c>
      <c r="N637" t="s">
        <v>371</v>
      </c>
      <c r="O637" t="s">
        <v>371</v>
      </c>
      <c r="P637" t="s">
        <v>371</v>
      </c>
      <c r="Q637" t="s">
        <v>371</v>
      </c>
      <c r="R637" t="s">
        <v>372</v>
      </c>
      <c r="S637" t="s">
        <v>372</v>
      </c>
      <c r="T637" t="s">
        <v>372</v>
      </c>
      <c r="U637" t="s">
        <v>367</v>
      </c>
      <c r="W637" t="s">
        <v>367</v>
      </c>
      <c r="X637" t="s">
        <v>373</v>
      </c>
      <c r="Y637" t="s">
        <v>367</v>
      </c>
      <c r="Z637" t="s">
        <v>374</v>
      </c>
      <c r="AB637" s="73"/>
      <c r="AQ637" s="73"/>
      <c r="BG637" t="s">
        <v>371</v>
      </c>
      <c r="BH637" t="s">
        <v>371</v>
      </c>
      <c r="BI637" t="s">
        <v>371</v>
      </c>
      <c r="BJ637" t="s">
        <v>371</v>
      </c>
      <c r="BK637" t="s">
        <v>371</v>
      </c>
      <c r="BL637" t="s">
        <v>371</v>
      </c>
      <c r="BM637" t="s">
        <v>371</v>
      </c>
      <c r="BN637" t="s">
        <v>371</v>
      </c>
      <c r="BO637" t="s">
        <v>371</v>
      </c>
      <c r="BQ637" t="s">
        <v>375</v>
      </c>
      <c r="BR637" s="73"/>
      <c r="CX637" s="73"/>
      <c r="EQ637" s="73"/>
      <c r="FT637">
        <v>0</v>
      </c>
      <c r="FZ637" t="s">
        <v>371</v>
      </c>
      <c r="GA637" t="s">
        <v>371</v>
      </c>
      <c r="GB637" t="s">
        <v>371</v>
      </c>
      <c r="GC637" t="s">
        <v>371</v>
      </c>
      <c r="GD637" t="s">
        <v>371</v>
      </c>
      <c r="GF637" t="s">
        <v>371</v>
      </c>
      <c r="GG637" t="s">
        <v>371</v>
      </c>
      <c r="GH637" t="s">
        <v>371</v>
      </c>
      <c r="GI637" t="s">
        <v>371</v>
      </c>
      <c r="GJ637" t="s">
        <v>371</v>
      </c>
      <c r="GK637" t="s">
        <v>371</v>
      </c>
      <c r="GN637" t="s">
        <v>371</v>
      </c>
      <c r="GO637" t="s">
        <v>371</v>
      </c>
      <c r="GP637" t="s">
        <v>371</v>
      </c>
      <c r="GQ637" t="s">
        <v>371</v>
      </c>
      <c r="GR637" t="s">
        <v>371</v>
      </c>
      <c r="GS637" t="s">
        <v>371</v>
      </c>
      <c r="GT637" t="s">
        <v>371</v>
      </c>
      <c r="GU637" t="s">
        <v>371</v>
      </c>
      <c r="GV637" t="s">
        <v>371</v>
      </c>
      <c r="GW637" t="s">
        <v>371</v>
      </c>
      <c r="GX637" t="s">
        <v>371</v>
      </c>
      <c r="HA637" t="s">
        <v>375</v>
      </c>
    </row>
    <row r="638" spans="1:209" ht="14.25" customHeight="1" x14ac:dyDescent="0.25">
      <c r="A638" t="s">
        <v>738</v>
      </c>
      <c r="B638" t="s">
        <v>376</v>
      </c>
      <c r="C638">
        <v>1</v>
      </c>
      <c r="D638" t="s">
        <v>666</v>
      </c>
      <c r="E638" s="73"/>
      <c r="AA638" t="s">
        <v>377</v>
      </c>
      <c r="AB638" s="73">
        <v>46198</v>
      </c>
      <c r="AE638" t="s">
        <v>684</v>
      </c>
      <c r="AF638" t="s">
        <v>379</v>
      </c>
      <c r="AI638" t="s">
        <v>688</v>
      </c>
      <c r="AJ638">
        <v>0</v>
      </c>
      <c r="AK638" t="s">
        <v>372</v>
      </c>
      <c r="AP638" t="s">
        <v>374</v>
      </c>
      <c r="AQ638" s="73"/>
      <c r="BR638" s="73"/>
      <c r="CX638" s="73"/>
      <c r="EQ638" s="73"/>
    </row>
    <row r="639" spans="1:209" ht="14.25" customHeight="1" x14ac:dyDescent="0.25">
      <c r="A639" t="s">
        <v>738</v>
      </c>
      <c r="B639" t="s">
        <v>381</v>
      </c>
      <c r="C639">
        <v>1</v>
      </c>
      <c r="D639" t="s">
        <v>666</v>
      </c>
      <c r="E639" s="73"/>
      <c r="AB639" s="73"/>
      <c r="AQ639" s="73">
        <v>46198</v>
      </c>
      <c r="AT639" t="s">
        <v>674</v>
      </c>
      <c r="AU639" t="s">
        <v>383</v>
      </c>
      <c r="AV639" t="s">
        <v>383</v>
      </c>
      <c r="AW639" t="s">
        <v>384</v>
      </c>
      <c r="AX639" t="s">
        <v>383</v>
      </c>
      <c r="AY639" t="s">
        <v>383</v>
      </c>
      <c r="AZ639" t="s">
        <v>383</v>
      </c>
      <c r="BA639" t="s">
        <v>367</v>
      </c>
      <c r="BB639" t="s">
        <v>367</v>
      </c>
      <c r="BC639">
        <v>5</v>
      </c>
      <c r="BD639" t="s">
        <v>374</v>
      </c>
      <c r="BR639" s="73"/>
      <c r="CX639" s="73"/>
      <c r="EQ639" s="73"/>
    </row>
    <row r="640" spans="1:209" ht="14.25" customHeight="1" x14ac:dyDescent="0.25">
      <c r="A640" t="s">
        <v>739</v>
      </c>
      <c r="D640" t="s">
        <v>666</v>
      </c>
      <c r="E640" s="73">
        <v>46198</v>
      </c>
      <c r="H640" t="s">
        <v>403</v>
      </c>
      <c r="I640" t="s">
        <v>403</v>
      </c>
      <c r="J640">
        <v>1994</v>
      </c>
      <c r="K640" t="s">
        <v>448</v>
      </c>
      <c r="L640" t="s">
        <v>370</v>
      </c>
      <c r="M640" t="s">
        <v>371</v>
      </c>
      <c r="N640" t="s">
        <v>371</v>
      </c>
      <c r="O640" t="s">
        <v>371</v>
      </c>
      <c r="P640" t="s">
        <v>371</v>
      </c>
      <c r="Q640" t="s">
        <v>371</v>
      </c>
      <c r="R640" t="s">
        <v>372</v>
      </c>
      <c r="S640" t="s">
        <v>372</v>
      </c>
      <c r="T640" t="s">
        <v>372</v>
      </c>
      <c r="U640" t="s">
        <v>367</v>
      </c>
      <c r="W640" t="s">
        <v>367</v>
      </c>
      <c r="X640" t="s">
        <v>373</v>
      </c>
      <c r="Y640" t="s">
        <v>367</v>
      </c>
      <c r="Z640" t="s">
        <v>374</v>
      </c>
      <c r="AB640" s="73"/>
      <c r="AQ640" s="73"/>
      <c r="BG640" t="s">
        <v>371</v>
      </c>
      <c r="BH640" t="s">
        <v>371</v>
      </c>
      <c r="BI640" t="s">
        <v>371</v>
      </c>
      <c r="BJ640" t="s">
        <v>371</v>
      </c>
      <c r="BK640" t="s">
        <v>371</v>
      </c>
      <c r="BL640" t="s">
        <v>371</v>
      </c>
      <c r="BM640" t="s">
        <v>371</v>
      </c>
      <c r="BN640" t="s">
        <v>371</v>
      </c>
      <c r="BO640" t="s">
        <v>371</v>
      </c>
      <c r="BQ640" t="s">
        <v>375</v>
      </c>
      <c r="BR640" s="73"/>
      <c r="CX640" s="73"/>
      <c r="EQ640" s="73"/>
      <c r="FT640">
        <v>0</v>
      </c>
      <c r="FZ640" t="s">
        <v>371</v>
      </c>
      <c r="GA640" t="s">
        <v>371</v>
      </c>
      <c r="GB640" t="s">
        <v>371</v>
      </c>
      <c r="GC640" t="s">
        <v>371</v>
      </c>
      <c r="GD640" t="s">
        <v>371</v>
      </c>
      <c r="GF640" t="s">
        <v>371</v>
      </c>
      <c r="GG640" t="s">
        <v>371</v>
      </c>
      <c r="GH640" t="s">
        <v>371</v>
      </c>
      <c r="GI640" t="s">
        <v>371</v>
      </c>
      <c r="GJ640" t="s">
        <v>371</v>
      </c>
      <c r="GK640" t="s">
        <v>371</v>
      </c>
      <c r="GN640" t="s">
        <v>371</v>
      </c>
      <c r="GO640" t="s">
        <v>371</v>
      </c>
      <c r="GP640" t="s">
        <v>371</v>
      </c>
      <c r="GQ640" t="s">
        <v>371</v>
      </c>
      <c r="GR640" t="s">
        <v>371</v>
      </c>
      <c r="GS640" t="s">
        <v>371</v>
      </c>
      <c r="GT640" t="s">
        <v>371</v>
      </c>
      <c r="GU640" t="s">
        <v>371</v>
      </c>
      <c r="GV640" t="s">
        <v>371</v>
      </c>
      <c r="GW640" t="s">
        <v>371</v>
      </c>
      <c r="GX640" t="s">
        <v>371</v>
      </c>
      <c r="HA640" t="s">
        <v>375</v>
      </c>
    </row>
    <row r="641" spans="1:209" ht="14.25" customHeight="1" x14ac:dyDescent="0.25">
      <c r="A641" t="s">
        <v>739</v>
      </c>
      <c r="B641" t="s">
        <v>376</v>
      </c>
      <c r="C641">
        <v>1</v>
      </c>
      <c r="D641" t="s">
        <v>666</v>
      </c>
      <c r="E641" s="73"/>
      <c r="AA641" t="s">
        <v>377</v>
      </c>
      <c r="AB641" s="73">
        <v>46198</v>
      </c>
      <c r="AE641" t="s">
        <v>684</v>
      </c>
      <c r="AF641" t="s">
        <v>379</v>
      </c>
      <c r="AI641" t="s">
        <v>688</v>
      </c>
      <c r="AJ641">
        <v>0</v>
      </c>
      <c r="AK641" t="s">
        <v>372</v>
      </c>
      <c r="AP641" t="s">
        <v>374</v>
      </c>
      <c r="AQ641" s="73"/>
      <c r="BR641" s="73"/>
      <c r="CX641" s="73"/>
      <c r="EQ641" s="73"/>
    </row>
    <row r="642" spans="1:209" ht="14.25" customHeight="1" x14ac:dyDescent="0.25">
      <c r="A642" t="s">
        <v>740</v>
      </c>
      <c r="D642" t="s">
        <v>666</v>
      </c>
      <c r="E642" s="73">
        <v>46198</v>
      </c>
      <c r="H642" t="s">
        <v>403</v>
      </c>
      <c r="I642" t="s">
        <v>403</v>
      </c>
      <c r="J642">
        <v>2000</v>
      </c>
      <c r="K642" t="s">
        <v>448</v>
      </c>
      <c r="L642" t="s">
        <v>370</v>
      </c>
      <c r="M642" t="s">
        <v>371</v>
      </c>
      <c r="N642" t="s">
        <v>371</v>
      </c>
      <c r="O642" t="s">
        <v>371</v>
      </c>
      <c r="P642" t="s">
        <v>371</v>
      </c>
      <c r="Q642" t="s">
        <v>371</v>
      </c>
      <c r="R642" t="s">
        <v>372</v>
      </c>
      <c r="S642" t="s">
        <v>372</v>
      </c>
      <c r="T642" t="s">
        <v>372</v>
      </c>
      <c r="U642" t="s">
        <v>367</v>
      </c>
      <c r="W642" t="s">
        <v>367</v>
      </c>
      <c r="X642" t="s">
        <v>373</v>
      </c>
      <c r="Y642" t="s">
        <v>367</v>
      </c>
      <c r="Z642" t="s">
        <v>374</v>
      </c>
      <c r="AB642" s="73"/>
      <c r="AQ642" s="73"/>
      <c r="BG642" t="s">
        <v>371</v>
      </c>
      <c r="BH642" t="s">
        <v>371</v>
      </c>
      <c r="BI642" t="s">
        <v>371</v>
      </c>
      <c r="BJ642" t="s">
        <v>371</v>
      </c>
      <c r="BK642" t="s">
        <v>371</v>
      </c>
      <c r="BL642" t="s">
        <v>371</v>
      </c>
      <c r="BM642" t="s">
        <v>371</v>
      </c>
      <c r="BN642" t="s">
        <v>371</v>
      </c>
      <c r="BO642" t="s">
        <v>371</v>
      </c>
      <c r="BQ642" t="s">
        <v>375</v>
      </c>
      <c r="BR642" s="73"/>
      <c r="CX642" s="73"/>
      <c r="EQ642" s="73"/>
      <c r="FT642">
        <v>0</v>
      </c>
      <c r="FZ642" t="s">
        <v>371</v>
      </c>
      <c r="GA642" t="s">
        <v>371</v>
      </c>
      <c r="GB642" t="s">
        <v>371</v>
      </c>
      <c r="GC642" t="s">
        <v>371</v>
      </c>
      <c r="GD642" t="s">
        <v>371</v>
      </c>
      <c r="GF642" t="s">
        <v>371</v>
      </c>
      <c r="GG642" t="s">
        <v>371</v>
      </c>
      <c r="GH642" t="s">
        <v>371</v>
      </c>
      <c r="GI642" t="s">
        <v>371</v>
      </c>
      <c r="GJ642" t="s">
        <v>371</v>
      </c>
      <c r="GK642" t="s">
        <v>371</v>
      </c>
      <c r="GN642" t="s">
        <v>371</v>
      </c>
      <c r="GO642" t="s">
        <v>371</v>
      </c>
      <c r="GP642" t="s">
        <v>371</v>
      </c>
      <c r="GQ642" t="s">
        <v>371</v>
      </c>
      <c r="GR642" t="s">
        <v>371</v>
      </c>
      <c r="GS642" t="s">
        <v>371</v>
      </c>
      <c r="GT642" t="s">
        <v>371</v>
      </c>
      <c r="GU642" t="s">
        <v>371</v>
      </c>
      <c r="GV642" t="s">
        <v>371</v>
      </c>
      <c r="GW642" t="s">
        <v>371</v>
      </c>
      <c r="GX642" t="s">
        <v>371</v>
      </c>
      <c r="HA642" t="s">
        <v>375</v>
      </c>
    </row>
    <row r="643" spans="1:209" ht="14.25" customHeight="1" x14ac:dyDescent="0.25">
      <c r="A643" t="s">
        <v>740</v>
      </c>
      <c r="B643" t="s">
        <v>376</v>
      </c>
      <c r="C643">
        <v>1</v>
      </c>
      <c r="D643" t="s">
        <v>666</v>
      </c>
      <c r="E643" s="73"/>
      <c r="AA643" t="s">
        <v>377</v>
      </c>
      <c r="AB643" s="73">
        <v>46198</v>
      </c>
      <c r="AE643" t="s">
        <v>684</v>
      </c>
      <c r="AF643" t="s">
        <v>379</v>
      </c>
      <c r="AI643" t="s">
        <v>688</v>
      </c>
      <c r="AJ643">
        <v>0</v>
      </c>
      <c r="AK643" t="s">
        <v>372</v>
      </c>
      <c r="AP643" t="s">
        <v>374</v>
      </c>
      <c r="AQ643" s="73"/>
      <c r="BR643" s="73"/>
      <c r="CX643" s="73"/>
      <c r="EQ643" s="73"/>
    </row>
    <row r="644" spans="1:209" ht="14.25" customHeight="1" x14ac:dyDescent="0.25">
      <c r="A644" t="s">
        <v>740</v>
      </c>
      <c r="B644" t="s">
        <v>381</v>
      </c>
      <c r="C644">
        <v>1</v>
      </c>
      <c r="D644" t="s">
        <v>666</v>
      </c>
      <c r="E644" s="73"/>
      <c r="AB644" s="73"/>
      <c r="AQ644" s="73">
        <v>46198</v>
      </c>
      <c r="AT644" t="s">
        <v>680</v>
      </c>
      <c r="AU644" t="s">
        <v>384</v>
      </c>
      <c r="AV644" t="s">
        <v>385</v>
      </c>
      <c r="AW644" t="s">
        <v>383</v>
      </c>
      <c r="AX644" t="s">
        <v>383</v>
      </c>
      <c r="AY644" t="s">
        <v>384</v>
      </c>
      <c r="AZ644" t="s">
        <v>383</v>
      </c>
      <c r="BA644" t="s">
        <v>367</v>
      </c>
      <c r="BB644" t="s">
        <v>367</v>
      </c>
      <c r="BC644">
        <v>5</v>
      </c>
      <c r="BD644" t="s">
        <v>374</v>
      </c>
      <c r="BR644" s="73"/>
      <c r="CX644" s="73"/>
      <c r="EQ644" s="73"/>
    </row>
    <row r="645" spans="1:209" ht="14.25" customHeight="1" x14ac:dyDescent="0.25">
      <c r="A645" t="s">
        <v>741</v>
      </c>
      <c r="D645" t="s">
        <v>666</v>
      </c>
      <c r="E645" s="73">
        <v>46198</v>
      </c>
      <c r="H645" t="s">
        <v>403</v>
      </c>
      <c r="I645" t="s">
        <v>403</v>
      </c>
      <c r="J645">
        <v>1987</v>
      </c>
      <c r="K645" t="s">
        <v>448</v>
      </c>
      <c r="L645" t="s">
        <v>371</v>
      </c>
      <c r="M645" t="s">
        <v>371</v>
      </c>
      <c r="N645" t="s">
        <v>371</v>
      </c>
      <c r="O645" t="s">
        <v>371</v>
      </c>
      <c r="P645" t="s">
        <v>371</v>
      </c>
      <c r="Q645" t="s">
        <v>370</v>
      </c>
      <c r="R645" t="s">
        <v>372</v>
      </c>
      <c r="S645" t="s">
        <v>372</v>
      </c>
      <c r="T645" t="s">
        <v>372</v>
      </c>
      <c r="U645" t="s">
        <v>367</v>
      </c>
      <c r="W645" t="s">
        <v>367</v>
      </c>
      <c r="X645" t="s">
        <v>432</v>
      </c>
      <c r="Y645" t="s">
        <v>396</v>
      </c>
      <c r="Z645" t="s">
        <v>374</v>
      </c>
      <c r="AB645" s="73"/>
      <c r="AQ645" s="73"/>
      <c r="BG645" t="s">
        <v>371</v>
      </c>
      <c r="BH645" t="s">
        <v>371</v>
      </c>
      <c r="BI645" t="s">
        <v>371</v>
      </c>
      <c r="BJ645" t="s">
        <v>371</v>
      </c>
      <c r="BK645" t="s">
        <v>371</v>
      </c>
      <c r="BL645" t="s">
        <v>371</v>
      </c>
      <c r="BM645" t="s">
        <v>371</v>
      </c>
      <c r="BN645" t="s">
        <v>371</v>
      </c>
      <c r="BO645" t="s">
        <v>371</v>
      </c>
      <c r="BQ645" t="s">
        <v>375</v>
      </c>
      <c r="BR645" s="73"/>
      <c r="CX645" s="73"/>
      <c r="EQ645" s="73"/>
      <c r="FT645">
        <v>0</v>
      </c>
      <c r="FZ645" t="s">
        <v>371</v>
      </c>
      <c r="GA645" t="s">
        <v>371</v>
      </c>
      <c r="GB645" t="s">
        <v>371</v>
      </c>
      <c r="GC645" t="s">
        <v>371</v>
      </c>
      <c r="GD645" t="s">
        <v>371</v>
      </c>
      <c r="GF645" t="s">
        <v>371</v>
      </c>
      <c r="GG645" t="s">
        <v>371</v>
      </c>
      <c r="GH645" t="s">
        <v>371</v>
      </c>
      <c r="GI645" t="s">
        <v>371</v>
      </c>
      <c r="GJ645" t="s">
        <v>371</v>
      </c>
      <c r="GK645" t="s">
        <v>371</v>
      </c>
      <c r="GN645" t="s">
        <v>371</v>
      </c>
      <c r="GO645" t="s">
        <v>371</v>
      </c>
      <c r="GP645" t="s">
        <v>371</v>
      </c>
      <c r="GQ645" t="s">
        <v>371</v>
      </c>
      <c r="GR645" t="s">
        <v>371</v>
      </c>
      <c r="GS645" t="s">
        <v>371</v>
      </c>
      <c r="GT645" t="s">
        <v>371</v>
      </c>
      <c r="GU645" t="s">
        <v>371</v>
      </c>
      <c r="GV645" t="s">
        <v>371</v>
      </c>
      <c r="GW645" t="s">
        <v>371</v>
      </c>
      <c r="GX645" t="s">
        <v>371</v>
      </c>
      <c r="HA645" t="s">
        <v>375</v>
      </c>
    </row>
    <row r="646" spans="1:209" ht="14.25" customHeight="1" x14ac:dyDescent="0.25">
      <c r="A646" t="s">
        <v>741</v>
      </c>
      <c r="B646" t="s">
        <v>376</v>
      </c>
      <c r="C646">
        <v>1</v>
      </c>
      <c r="D646" t="s">
        <v>666</v>
      </c>
      <c r="E646" s="73"/>
      <c r="AA646" t="s">
        <v>377</v>
      </c>
      <c r="AB646" s="73">
        <v>46198</v>
      </c>
      <c r="AE646" t="s">
        <v>684</v>
      </c>
      <c r="AF646" t="s">
        <v>379</v>
      </c>
      <c r="AI646" t="s">
        <v>688</v>
      </c>
      <c r="AJ646">
        <v>0</v>
      </c>
      <c r="AK646" t="s">
        <v>372</v>
      </c>
      <c r="AP646" t="s">
        <v>374</v>
      </c>
      <c r="AQ646" s="73"/>
      <c r="BR646" s="73"/>
      <c r="CX646" s="73"/>
      <c r="EQ646" s="73"/>
    </row>
    <row r="647" spans="1:209" ht="14.25" customHeight="1" x14ac:dyDescent="0.25">
      <c r="A647" t="s">
        <v>741</v>
      </c>
      <c r="B647" t="s">
        <v>381</v>
      </c>
      <c r="C647">
        <v>1</v>
      </c>
      <c r="D647" t="s">
        <v>666</v>
      </c>
      <c r="E647" s="73"/>
      <c r="AB647" s="73"/>
      <c r="AQ647" s="73">
        <v>46198</v>
      </c>
      <c r="AT647" t="s">
        <v>674</v>
      </c>
      <c r="AU647" t="s">
        <v>383</v>
      </c>
      <c r="AV647" t="s">
        <v>384</v>
      </c>
      <c r="AW647" t="s">
        <v>384</v>
      </c>
      <c r="AX647" t="s">
        <v>385</v>
      </c>
      <c r="AY647" t="s">
        <v>383</v>
      </c>
      <c r="AZ647" t="s">
        <v>385</v>
      </c>
      <c r="BA647" t="s">
        <v>367</v>
      </c>
      <c r="BB647" t="s">
        <v>367</v>
      </c>
      <c r="BC647">
        <v>6</v>
      </c>
      <c r="BD647" t="s">
        <v>374</v>
      </c>
      <c r="BR647" s="73"/>
      <c r="CX647" s="73"/>
      <c r="EQ647" s="73"/>
    </row>
    <row r="648" spans="1:209" ht="14.25" customHeight="1" x14ac:dyDescent="0.25">
      <c r="A648" t="s">
        <v>742</v>
      </c>
      <c r="D648" t="s">
        <v>666</v>
      </c>
      <c r="E648" s="73">
        <v>46198</v>
      </c>
      <c r="H648" t="s">
        <v>368</v>
      </c>
      <c r="I648" t="s">
        <v>368</v>
      </c>
      <c r="J648">
        <v>2006</v>
      </c>
      <c r="K648" t="s">
        <v>561</v>
      </c>
      <c r="L648" t="s">
        <v>370</v>
      </c>
      <c r="M648" t="s">
        <v>371</v>
      </c>
      <c r="N648" t="s">
        <v>371</v>
      </c>
      <c r="O648" t="s">
        <v>371</v>
      </c>
      <c r="P648" t="s">
        <v>371</v>
      </c>
      <c r="Q648" t="s">
        <v>371</v>
      </c>
      <c r="R648" t="s">
        <v>372</v>
      </c>
      <c r="S648" t="s">
        <v>372</v>
      </c>
      <c r="T648" t="s">
        <v>367</v>
      </c>
      <c r="U648" t="s">
        <v>367</v>
      </c>
      <c r="W648" t="s">
        <v>367</v>
      </c>
      <c r="X648" t="s">
        <v>373</v>
      </c>
      <c r="Y648" t="s">
        <v>367</v>
      </c>
      <c r="Z648" t="s">
        <v>374</v>
      </c>
      <c r="AB648" s="73"/>
      <c r="AQ648" s="73"/>
      <c r="BG648" t="s">
        <v>371</v>
      </c>
      <c r="BH648" t="s">
        <v>371</v>
      </c>
      <c r="BI648" t="s">
        <v>371</v>
      </c>
      <c r="BJ648" t="s">
        <v>371</v>
      </c>
      <c r="BK648" t="s">
        <v>371</v>
      </c>
      <c r="BL648" t="s">
        <v>371</v>
      </c>
      <c r="BM648" t="s">
        <v>371</v>
      </c>
      <c r="BN648" t="s">
        <v>371</v>
      </c>
      <c r="BO648" t="s">
        <v>371</v>
      </c>
      <c r="BQ648" t="s">
        <v>375</v>
      </c>
      <c r="BR648" s="73"/>
      <c r="CX648" s="73"/>
      <c r="EQ648" s="73"/>
      <c r="FT648">
        <v>0</v>
      </c>
      <c r="FZ648" t="s">
        <v>371</v>
      </c>
      <c r="GA648" t="s">
        <v>371</v>
      </c>
      <c r="GB648" t="s">
        <v>371</v>
      </c>
      <c r="GC648" t="s">
        <v>371</v>
      </c>
      <c r="GD648" t="s">
        <v>371</v>
      </c>
      <c r="GF648" t="s">
        <v>371</v>
      </c>
      <c r="GG648" t="s">
        <v>371</v>
      </c>
      <c r="GH648" t="s">
        <v>371</v>
      </c>
      <c r="GI648" t="s">
        <v>371</v>
      </c>
      <c r="GJ648" t="s">
        <v>371</v>
      </c>
      <c r="GK648" t="s">
        <v>371</v>
      </c>
      <c r="GN648" t="s">
        <v>371</v>
      </c>
      <c r="GO648" t="s">
        <v>371</v>
      </c>
      <c r="GP648" t="s">
        <v>371</v>
      </c>
      <c r="GQ648" t="s">
        <v>371</v>
      </c>
      <c r="GR648" t="s">
        <v>371</v>
      </c>
      <c r="GS648" t="s">
        <v>371</v>
      </c>
      <c r="GT648" t="s">
        <v>371</v>
      </c>
      <c r="GU648" t="s">
        <v>371</v>
      </c>
      <c r="GV648" t="s">
        <v>371</v>
      </c>
      <c r="GW648" t="s">
        <v>371</v>
      </c>
      <c r="GX648" t="s">
        <v>371</v>
      </c>
      <c r="HA648" t="s">
        <v>375</v>
      </c>
    </row>
    <row r="649" spans="1:209" ht="14.25" customHeight="1" x14ac:dyDescent="0.25">
      <c r="A649" t="s">
        <v>742</v>
      </c>
      <c r="B649" t="s">
        <v>376</v>
      </c>
      <c r="C649">
        <v>1</v>
      </c>
      <c r="D649" t="s">
        <v>666</v>
      </c>
      <c r="E649" s="73"/>
      <c r="AA649" t="s">
        <v>377</v>
      </c>
      <c r="AB649" s="73">
        <v>46198</v>
      </c>
      <c r="AE649" t="s">
        <v>684</v>
      </c>
      <c r="AF649" t="s">
        <v>379</v>
      </c>
      <c r="AI649" t="s">
        <v>688</v>
      </c>
      <c r="AJ649">
        <v>0</v>
      </c>
      <c r="AK649" t="s">
        <v>372</v>
      </c>
      <c r="AP649" t="s">
        <v>374</v>
      </c>
      <c r="AQ649" s="73"/>
      <c r="BR649" s="73"/>
      <c r="CX649" s="73"/>
      <c r="EQ649" s="73"/>
    </row>
    <row r="650" spans="1:209" ht="14.25" customHeight="1" x14ac:dyDescent="0.25">
      <c r="A650" t="s">
        <v>742</v>
      </c>
      <c r="B650" t="s">
        <v>381</v>
      </c>
      <c r="C650">
        <v>1</v>
      </c>
      <c r="D650" t="s">
        <v>666</v>
      </c>
      <c r="E650" s="73"/>
      <c r="AB650" s="73"/>
      <c r="AQ650" s="73">
        <v>46198</v>
      </c>
      <c r="AT650" t="s">
        <v>674</v>
      </c>
      <c r="AU650" t="s">
        <v>383</v>
      </c>
      <c r="AV650" t="s">
        <v>383</v>
      </c>
      <c r="AW650" t="s">
        <v>383</v>
      </c>
      <c r="AX650" t="s">
        <v>385</v>
      </c>
      <c r="AY650" t="s">
        <v>384</v>
      </c>
      <c r="AZ650" t="s">
        <v>383</v>
      </c>
      <c r="BA650" t="s">
        <v>367</v>
      </c>
      <c r="BB650" t="s">
        <v>367</v>
      </c>
      <c r="BC650">
        <v>6</v>
      </c>
      <c r="BD650" t="s">
        <v>374</v>
      </c>
      <c r="BR650" s="73"/>
      <c r="CX650" s="73"/>
      <c r="EQ650" s="73"/>
    </row>
    <row r="651" spans="1:209" ht="14.25" customHeight="1" x14ac:dyDescent="0.25">
      <c r="A651" t="s">
        <v>743</v>
      </c>
      <c r="D651" t="s">
        <v>666</v>
      </c>
      <c r="E651" s="73">
        <v>46198</v>
      </c>
      <c r="H651" t="s">
        <v>368</v>
      </c>
      <c r="I651" t="s">
        <v>368</v>
      </c>
      <c r="J651">
        <v>2004</v>
      </c>
      <c r="K651" t="s">
        <v>561</v>
      </c>
      <c r="L651" t="s">
        <v>370</v>
      </c>
      <c r="M651" t="s">
        <v>371</v>
      </c>
      <c r="N651" t="s">
        <v>371</v>
      </c>
      <c r="O651" t="s">
        <v>371</v>
      </c>
      <c r="P651" t="s">
        <v>371</v>
      </c>
      <c r="Q651" t="s">
        <v>371</v>
      </c>
      <c r="R651" t="s">
        <v>372</v>
      </c>
      <c r="S651" t="s">
        <v>372</v>
      </c>
      <c r="T651" t="s">
        <v>372</v>
      </c>
      <c r="U651" t="s">
        <v>367</v>
      </c>
      <c r="W651" t="s">
        <v>461</v>
      </c>
      <c r="X651" t="s">
        <v>373</v>
      </c>
      <c r="Y651" t="s">
        <v>367</v>
      </c>
      <c r="Z651" t="s">
        <v>374</v>
      </c>
      <c r="AB651" s="73"/>
      <c r="AQ651" s="73"/>
      <c r="BG651" t="s">
        <v>371</v>
      </c>
      <c r="BH651" t="s">
        <v>371</v>
      </c>
      <c r="BI651" t="s">
        <v>371</v>
      </c>
      <c r="BJ651" t="s">
        <v>371</v>
      </c>
      <c r="BK651" t="s">
        <v>371</v>
      </c>
      <c r="BL651" t="s">
        <v>371</v>
      </c>
      <c r="BM651" t="s">
        <v>371</v>
      </c>
      <c r="BN651" t="s">
        <v>371</v>
      </c>
      <c r="BO651" t="s">
        <v>371</v>
      </c>
      <c r="BQ651" t="s">
        <v>375</v>
      </c>
      <c r="BR651" s="73"/>
      <c r="CX651" s="73"/>
      <c r="EQ651" s="73"/>
      <c r="FT651">
        <v>0</v>
      </c>
      <c r="FZ651" t="s">
        <v>371</v>
      </c>
      <c r="GA651" t="s">
        <v>371</v>
      </c>
      <c r="GB651" t="s">
        <v>371</v>
      </c>
      <c r="GC651" t="s">
        <v>371</v>
      </c>
      <c r="GD651" t="s">
        <v>371</v>
      </c>
      <c r="GF651" t="s">
        <v>371</v>
      </c>
      <c r="GG651" t="s">
        <v>371</v>
      </c>
      <c r="GH651" t="s">
        <v>371</v>
      </c>
      <c r="GI651" t="s">
        <v>371</v>
      </c>
      <c r="GJ651" t="s">
        <v>371</v>
      </c>
      <c r="GK651" t="s">
        <v>371</v>
      </c>
      <c r="GN651" t="s">
        <v>371</v>
      </c>
      <c r="GO651" t="s">
        <v>371</v>
      </c>
      <c r="GP651" t="s">
        <v>371</v>
      </c>
      <c r="GQ651" t="s">
        <v>371</v>
      </c>
      <c r="GR651" t="s">
        <v>371</v>
      </c>
      <c r="GS651" t="s">
        <v>371</v>
      </c>
      <c r="GT651" t="s">
        <v>371</v>
      </c>
      <c r="GU651" t="s">
        <v>371</v>
      </c>
      <c r="GV651" t="s">
        <v>371</v>
      </c>
      <c r="GW651" t="s">
        <v>371</v>
      </c>
      <c r="GX651" t="s">
        <v>371</v>
      </c>
      <c r="HA651" t="s">
        <v>375</v>
      </c>
    </row>
    <row r="652" spans="1:209" ht="14.25" customHeight="1" x14ac:dyDescent="0.25">
      <c r="A652" t="s">
        <v>743</v>
      </c>
      <c r="B652" t="s">
        <v>376</v>
      </c>
      <c r="C652">
        <v>1</v>
      </c>
      <c r="D652" t="s">
        <v>666</v>
      </c>
      <c r="E652" s="73"/>
      <c r="AA652" t="s">
        <v>377</v>
      </c>
      <c r="AB652" s="73">
        <v>46198</v>
      </c>
      <c r="AE652" t="s">
        <v>667</v>
      </c>
      <c r="AF652" t="s">
        <v>379</v>
      </c>
      <c r="AI652" t="s">
        <v>380</v>
      </c>
      <c r="AJ652">
        <v>0</v>
      </c>
      <c r="AK652" t="s">
        <v>372</v>
      </c>
      <c r="AP652" t="s">
        <v>374</v>
      </c>
      <c r="AQ652" s="73"/>
      <c r="BR652" s="73"/>
      <c r="CX652" s="73"/>
      <c r="EQ652" s="73"/>
    </row>
    <row r="653" spans="1:209" ht="14.25" customHeight="1" x14ac:dyDescent="0.25">
      <c r="A653" t="s">
        <v>743</v>
      </c>
      <c r="B653" t="s">
        <v>381</v>
      </c>
      <c r="C653">
        <v>1</v>
      </c>
      <c r="D653" t="s">
        <v>666</v>
      </c>
      <c r="E653" s="73"/>
      <c r="AB653" s="73"/>
      <c r="AQ653" s="73">
        <v>46198</v>
      </c>
      <c r="AT653" t="s">
        <v>667</v>
      </c>
      <c r="AU653" t="s">
        <v>383</v>
      </c>
      <c r="AV653" t="s">
        <v>383</v>
      </c>
      <c r="AW653" t="s">
        <v>384</v>
      </c>
      <c r="AX653" t="s">
        <v>385</v>
      </c>
      <c r="AY653" t="s">
        <v>384</v>
      </c>
      <c r="AZ653" t="s">
        <v>383</v>
      </c>
      <c r="BA653" t="s">
        <v>367</v>
      </c>
      <c r="BB653" t="s">
        <v>367</v>
      </c>
      <c r="BC653">
        <v>5</v>
      </c>
      <c r="BD653" t="s">
        <v>374</v>
      </c>
      <c r="BR653" s="73"/>
      <c r="CX653" s="73"/>
      <c r="EQ653" s="73"/>
    </row>
    <row r="654" spans="1:209" ht="14.25" customHeight="1" x14ac:dyDescent="0.25">
      <c r="A654" t="s">
        <v>744</v>
      </c>
      <c r="D654" t="s">
        <v>666</v>
      </c>
      <c r="E654" s="73">
        <v>46198</v>
      </c>
      <c r="H654" t="s">
        <v>403</v>
      </c>
      <c r="I654" t="s">
        <v>403</v>
      </c>
      <c r="J654">
        <v>2002</v>
      </c>
      <c r="K654" t="s">
        <v>448</v>
      </c>
      <c r="L654" t="s">
        <v>370</v>
      </c>
      <c r="M654" t="s">
        <v>371</v>
      </c>
      <c r="N654" t="s">
        <v>371</v>
      </c>
      <c r="O654" t="s">
        <v>371</v>
      </c>
      <c r="P654" t="s">
        <v>371</v>
      </c>
      <c r="Q654" t="s">
        <v>371</v>
      </c>
      <c r="R654" t="s">
        <v>372</v>
      </c>
      <c r="S654" t="s">
        <v>372</v>
      </c>
      <c r="T654" t="s">
        <v>372</v>
      </c>
      <c r="U654" t="s">
        <v>367</v>
      </c>
      <c r="W654" t="s">
        <v>367</v>
      </c>
      <c r="X654" t="s">
        <v>373</v>
      </c>
      <c r="Y654" t="s">
        <v>367</v>
      </c>
      <c r="Z654" t="s">
        <v>374</v>
      </c>
      <c r="AB654" s="73"/>
      <c r="AQ654" s="73"/>
      <c r="BG654" t="s">
        <v>371</v>
      </c>
      <c r="BH654" t="s">
        <v>371</v>
      </c>
      <c r="BI654" t="s">
        <v>371</v>
      </c>
      <c r="BJ654" t="s">
        <v>371</v>
      </c>
      <c r="BK654" t="s">
        <v>371</v>
      </c>
      <c r="BL654" t="s">
        <v>371</v>
      </c>
      <c r="BM654" t="s">
        <v>371</v>
      </c>
      <c r="BN654" t="s">
        <v>371</v>
      </c>
      <c r="BO654" t="s">
        <v>371</v>
      </c>
      <c r="BQ654" t="s">
        <v>375</v>
      </c>
      <c r="BR654" s="73"/>
      <c r="CX654" s="73"/>
      <c r="EQ654" s="73"/>
      <c r="FT654">
        <v>0</v>
      </c>
      <c r="FZ654" t="s">
        <v>371</v>
      </c>
      <c r="GA654" t="s">
        <v>371</v>
      </c>
      <c r="GB654" t="s">
        <v>371</v>
      </c>
      <c r="GC654" t="s">
        <v>371</v>
      </c>
      <c r="GD654" t="s">
        <v>371</v>
      </c>
      <c r="GF654" t="s">
        <v>371</v>
      </c>
      <c r="GG654" t="s">
        <v>371</v>
      </c>
      <c r="GH654" t="s">
        <v>371</v>
      </c>
      <c r="GI654" t="s">
        <v>371</v>
      </c>
      <c r="GJ654" t="s">
        <v>371</v>
      </c>
      <c r="GK654" t="s">
        <v>371</v>
      </c>
      <c r="GN654" t="s">
        <v>371</v>
      </c>
      <c r="GO654" t="s">
        <v>371</v>
      </c>
      <c r="GP654" t="s">
        <v>371</v>
      </c>
      <c r="GQ654" t="s">
        <v>371</v>
      </c>
      <c r="GR654" t="s">
        <v>371</v>
      </c>
      <c r="GS654" t="s">
        <v>371</v>
      </c>
      <c r="GT654" t="s">
        <v>371</v>
      </c>
      <c r="GU654" t="s">
        <v>371</v>
      </c>
      <c r="GV654" t="s">
        <v>371</v>
      </c>
      <c r="GW654" t="s">
        <v>371</v>
      </c>
      <c r="GX654" t="s">
        <v>371</v>
      </c>
      <c r="HA654" t="s">
        <v>375</v>
      </c>
    </row>
    <row r="655" spans="1:209" ht="14.25" customHeight="1" x14ac:dyDescent="0.25">
      <c r="A655" t="s">
        <v>744</v>
      </c>
      <c r="B655" t="s">
        <v>376</v>
      </c>
      <c r="C655">
        <v>1</v>
      </c>
      <c r="D655" t="s">
        <v>666</v>
      </c>
      <c r="E655" s="73"/>
      <c r="AA655" t="s">
        <v>377</v>
      </c>
      <c r="AB655" s="73">
        <v>46198</v>
      </c>
      <c r="AE655" t="s">
        <v>667</v>
      </c>
      <c r="AF655" t="s">
        <v>379</v>
      </c>
      <c r="AI655" t="s">
        <v>380</v>
      </c>
      <c r="AJ655">
        <v>0</v>
      </c>
      <c r="AK655" t="s">
        <v>372</v>
      </c>
      <c r="AP655" t="s">
        <v>374</v>
      </c>
      <c r="AQ655" s="73"/>
      <c r="BR655" s="73"/>
      <c r="CX655" s="73"/>
      <c r="EQ655" s="73"/>
    </row>
    <row r="656" spans="1:209" ht="14.25" customHeight="1" x14ac:dyDescent="0.25">
      <c r="A656" t="s">
        <v>744</v>
      </c>
      <c r="B656" t="s">
        <v>381</v>
      </c>
      <c r="C656">
        <v>1</v>
      </c>
      <c r="D656" t="s">
        <v>666</v>
      </c>
      <c r="E656" s="73"/>
      <c r="AB656" s="73"/>
      <c r="AQ656" s="73">
        <v>46198</v>
      </c>
      <c r="AT656" t="s">
        <v>667</v>
      </c>
      <c r="AU656" t="s">
        <v>384</v>
      </c>
      <c r="AV656" t="s">
        <v>385</v>
      </c>
      <c r="AW656" t="s">
        <v>384</v>
      </c>
      <c r="AX656" t="s">
        <v>383</v>
      </c>
      <c r="AY656" t="s">
        <v>383</v>
      </c>
      <c r="AZ656" t="s">
        <v>383</v>
      </c>
      <c r="BA656" t="s">
        <v>367</v>
      </c>
      <c r="BB656" t="s">
        <v>367</v>
      </c>
      <c r="BC656">
        <v>5</v>
      </c>
      <c r="BD656" t="s">
        <v>374</v>
      </c>
      <c r="BR656" s="73"/>
      <c r="CX656" s="73"/>
      <c r="EQ656" s="73"/>
    </row>
    <row r="657" spans="1:209" ht="14.25" customHeight="1" x14ac:dyDescent="0.25">
      <c r="A657" t="s">
        <v>745</v>
      </c>
      <c r="D657" t="s">
        <v>666</v>
      </c>
      <c r="E657" s="73">
        <v>46199</v>
      </c>
      <c r="H657" t="s">
        <v>368</v>
      </c>
      <c r="I657" t="s">
        <v>368</v>
      </c>
      <c r="J657">
        <v>1994</v>
      </c>
      <c r="K657" t="s">
        <v>561</v>
      </c>
      <c r="L657" t="s">
        <v>370</v>
      </c>
      <c r="M657" t="s">
        <v>371</v>
      </c>
      <c r="N657" t="s">
        <v>371</v>
      </c>
      <c r="O657" t="s">
        <v>371</v>
      </c>
      <c r="P657" t="s">
        <v>371</v>
      </c>
      <c r="Q657" t="s">
        <v>371</v>
      </c>
      <c r="R657" t="s">
        <v>372</v>
      </c>
      <c r="S657" t="s">
        <v>372</v>
      </c>
      <c r="T657" t="s">
        <v>367</v>
      </c>
      <c r="U657" t="s">
        <v>367</v>
      </c>
      <c r="W657" t="s">
        <v>367</v>
      </c>
      <c r="X657" t="s">
        <v>373</v>
      </c>
      <c r="Y657" t="s">
        <v>367</v>
      </c>
      <c r="Z657" t="s">
        <v>374</v>
      </c>
      <c r="AB657" s="73"/>
      <c r="AQ657" s="73"/>
      <c r="BG657" t="s">
        <v>371</v>
      </c>
      <c r="BH657" t="s">
        <v>371</v>
      </c>
      <c r="BI657" t="s">
        <v>371</v>
      </c>
      <c r="BJ657" t="s">
        <v>371</v>
      </c>
      <c r="BK657" t="s">
        <v>371</v>
      </c>
      <c r="BL657" t="s">
        <v>371</v>
      </c>
      <c r="BM657" t="s">
        <v>371</v>
      </c>
      <c r="BN657" t="s">
        <v>371</v>
      </c>
      <c r="BO657" t="s">
        <v>371</v>
      </c>
      <c r="BQ657" t="s">
        <v>375</v>
      </c>
      <c r="BR657" s="73"/>
      <c r="CX657" s="73"/>
      <c r="EQ657" s="73"/>
      <c r="FT657">
        <v>0</v>
      </c>
      <c r="FZ657" t="s">
        <v>371</v>
      </c>
      <c r="GA657" t="s">
        <v>371</v>
      </c>
      <c r="GB657" t="s">
        <v>371</v>
      </c>
      <c r="GC657" t="s">
        <v>371</v>
      </c>
      <c r="GD657" t="s">
        <v>371</v>
      </c>
      <c r="GF657" t="s">
        <v>371</v>
      </c>
      <c r="GG657" t="s">
        <v>371</v>
      </c>
      <c r="GH657" t="s">
        <v>371</v>
      </c>
      <c r="GI657" t="s">
        <v>371</v>
      </c>
      <c r="GJ657" t="s">
        <v>371</v>
      </c>
      <c r="GK657" t="s">
        <v>371</v>
      </c>
      <c r="GN657" t="s">
        <v>371</v>
      </c>
      <c r="GO657" t="s">
        <v>371</v>
      </c>
      <c r="GP657" t="s">
        <v>371</v>
      </c>
      <c r="GQ657" t="s">
        <v>371</v>
      </c>
      <c r="GR657" t="s">
        <v>371</v>
      </c>
      <c r="GS657" t="s">
        <v>371</v>
      </c>
      <c r="GT657" t="s">
        <v>371</v>
      </c>
      <c r="GU657" t="s">
        <v>371</v>
      </c>
      <c r="GV657" t="s">
        <v>371</v>
      </c>
      <c r="GW657" t="s">
        <v>371</v>
      </c>
      <c r="GX657" t="s">
        <v>371</v>
      </c>
      <c r="HA657" t="s">
        <v>375</v>
      </c>
    </row>
    <row r="658" spans="1:209" ht="14.25" customHeight="1" x14ac:dyDescent="0.25">
      <c r="A658" t="s">
        <v>745</v>
      </c>
      <c r="B658" t="s">
        <v>376</v>
      </c>
      <c r="C658">
        <v>1</v>
      </c>
      <c r="D658" t="s">
        <v>666</v>
      </c>
      <c r="E658" s="73"/>
      <c r="AA658" t="s">
        <v>377</v>
      </c>
      <c r="AB658" s="73">
        <v>46199</v>
      </c>
      <c r="AE658" t="s">
        <v>684</v>
      </c>
      <c r="AF658" t="s">
        <v>379</v>
      </c>
      <c r="AI658" t="s">
        <v>380</v>
      </c>
      <c r="AJ658">
        <v>1</v>
      </c>
      <c r="AK658" t="s">
        <v>372</v>
      </c>
      <c r="AP658" t="s">
        <v>374</v>
      </c>
      <c r="AQ658" s="73"/>
      <c r="BR658" s="73"/>
      <c r="CX658" s="73"/>
      <c r="EQ658" s="73"/>
    </row>
    <row r="659" spans="1:209" ht="14.25" customHeight="1" x14ac:dyDescent="0.25">
      <c r="A659" t="s">
        <v>745</v>
      </c>
      <c r="B659" t="s">
        <v>381</v>
      </c>
      <c r="C659">
        <v>1</v>
      </c>
      <c r="D659" t="s">
        <v>666</v>
      </c>
      <c r="E659" s="73"/>
      <c r="AB659" s="73"/>
      <c r="AQ659" s="73">
        <v>46199</v>
      </c>
      <c r="AT659" t="s">
        <v>674</v>
      </c>
      <c r="AU659" t="s">
        <v>383</v>
      </c>
      <c r="AV659" t="s">
        <v>384</v>
      </c>
      <c r="AW659" t="s">
        <v>384</v>
      </c>
      <c r="AX659" t="s">
        <v>385</v>
      </c>
      <c r="AY659" t="s">
        <v>383</v>
      </c>
      <c r="AZ659" t="s">
        <v>383</v>
      </c>
      <c r="BA659" t="s">
        <v>367</v>
      </c>
      <c r="BB659" t="s">
        <v>367</v>
      </c>
      <c r="BC659">
        <v>5</v>
      </c>
      <c r="BD659" t="s">
        <v>374</v>
      </c>
      <c r="BR659" s="73"/>
      <c r="CX659" s="73"/>
      <c r="EQ659" s="73"/>
    </row>
    <row r="660" spans="1:209" ht="14.25" customHeight="1" x14ac:dyDescent="0.25">
      <c r="A660" t="s">
        <v>746</v>
      </c>
      <c r="D660" t="s">
        <v>666</v>
      </c>
      <c r="E660" s="73">
        <v>46199</v>
      </c>
      <c r="H660" t="s">
        <v>368</v>
      </c>
      <c r="I660" t="s">
        <v>368</v>
      </c>
      <c r="J660">
        <v>2000</v>
      </c>
      <c r="K660" t="s">
        <v>561</v>
      </c>
      <c r="L660" t="s">
        <v>370</v>
      </c>
      <c r="M660" t="s">
        <v>371</v>
      </c>
      <c r="N660" t="s">
        <v>371</v>
      </c>
      <c r="O660" t="s">
        <v>371</v>
      </c>
      <c r="P660" t="s">
        <v>371</v>
      </c>
      <c r="Q660" t="s">
        <v>371</v>
      </c>
      <c r="R660" t="s">
        <v>372</v>
      </c>
      <c r="S660" t="s">
        <v>372</v>
      </c>
      <c r="T660" t="s">
        <v>372</v>
      </c>
      <c r="U660" t="s">
        <v>367</v>
      </c>
      <c r="W660" t="s">
        <v>461</v>
      </c>
      <c r="X660" t="s">
        <v>373</v>
      </c>
      <c r="Y660" t="s">
        <v>367</v>
      </c>
      <c r="Z660" t="s">
        <v>374</v>
      </c>
      <c r="AB660" s="73"/>
      <c r="AQ660" s="73"/>
      <c r="BG660" t="s">
        <v>371</v>
      </c>
      <c r="BH660" t="s">
        <v>371</v>
      </c>
      <c r="BI660" t="s">
        <v>371</v>
      </c>
      <c r="BJ660" t="s">
        <v>371</v>
      </c>
      <c r="BK660" t="s">
        <v>371</v>
      </c>
      <c r="BL660" t="s">
        <v>371</v>
      </c>
      <c r="BM660" t="s">
        <v>371</v>
      </c>
      <c r="BN660" t="s">
        <v>371</v>
      </c>
      <c r="BO660" t="s">
        <v>371</v>
      </c>
      <c r="BQ660" t="s">
        <v>375</v>
      </c>
      <c r="BR660" s="73"/>
      <c r="CX660" s="73"/>
      <c r="EQ660" s="73"/>
      <c r="FT660">
        <v>0</v>
      </c>
      <c r="FZ660" t="s">
        <v>371</v>
      </c>
      <c r="GA660" t="s">
        <v>371</v>
      </c>
      <c r="GB660" t="s">
        <v>371</v>
      </c>
      <c r="GC660" t="s">
        <v>371</v>
      </c>
      <c r="GD660" t="s">
        <v>371</v>
      </c>
      <c r="GF660" t="s">
        <v>371</v>
      </c>
      <c r="GG660" t="s">
        <v>371</v>
      </c>
      <c r="GH660" t="s">
        <v>371</v>
      </c>
      <c r="GI660" t="s">
        <v>371</v>
      </c>
      <c r="GJ660" t="s">
        <v>371</v>
      </c>
      <c r="GK660" t="s">
        <v>371</v>
      </c>
      <c r="GN660" t="s">
        <v>371</v>
      </c>
      <c r="GO660" t="s">
        <v>371</v>
      </c>
      <c r="GP660" t="s">
        <v>371</v>
      </c>
      <c r="GQ660" t="s">
        <v>371</v>
      </c>
      <c r="GR660" t="s">
        <v>371</v>
      </c>
      <c r="GS660" t="s">
        <v>371</v>
      </c>
      <c r="GT660" t="s">
        <v>371</v>
      </c>
      <c r="GU660" t="s">
        <v>371</v>
      </c>
      <c r="GV660" t="s">
        <v>371</v>
      </c>
      <c r="GW660" t="s">
        <v>371</v>
      </c>
      <c r="GX660" t="s">
        <v>371</v>
      </c>
      <c r="HA660" t="s">
        <v>375</v>
      </c>
    </row>
    <row r="661" spans="1:209" ht="14.25" customHeight="1" x14ac:dyDescent="0.25">
      <c r="A661" t="s">
        <v>746</v>
      </c>
      <c r="B661" t="s">
        <v>376</v>
      </c>
      <c r="C661">
        <v>1</v>
      </c>
      <c r="D661" t="s">
        <v>666</v>
      </c>
      <c r="E661" s="73"/>
      <c r="AA661" t="s">
        <v>377</v>
      </c>
      <c r="AB661" s="73">
        <v>46199</v>
      </c>
      <c r="AE661" t="s">
        <v>684</v>
      </c>
      <c r="AF661" t="s">
        <v>379</v>
      </c>
      <c r="AI661" t="s">
        <v>380</v>
      </c>
      <c r="AJ661">
        <v>1</v>
      </c>
      <c r="AK661" t="s">
        <v>372</v>
      </c>
      <c r="AP661" t="s">
        <v>374</v>
      </c>
      <c r="AQ661" s="73"/>
      <c r="BR661" s="73"/>
      <c r="CX661" s="73"/>
      <c r="EQ661" s="73"/>
    </row>
    <row r="662" spans="1:209" ht="14.25" customHeight="1" x14ac:dyDescent="0.25">
      <c r="A662" t="s">
        <v>746</v>
      </c>
      <c r="B662" t="s">
        <v>381</v>
      </c>
      <c r="C662">
        <v>1</v>
      </c>
      <c r="D662" t="s">
        <v>666</v>
      </c>
      <c r="E662" s="73"/>
      <c r="AB662" s="73"/>
      <c r="AQ662" s="73">
        <v>46199</v>
      </c>
      <c r="AT662" t="s">
        <v>680</v>
      </c>
      <c r="AU662" t="s">
        <v>384</v>
      </c>
      <c r="AV662" t="s">
        <v>383</v>
      </c>
      <c r="AW662" t="s">
        <v>384</v>
      </c>
      <c r="AX662" t="s">
        <v>385</v>
      </c>
      <c r="AY662" t="s">
        <v>383</v>
      </c>
      <c r="AZ662" t="s">
        <v>383</v>
      </c>
      <c r="BA662" t="s">
        <v>367</v>
      </c>
      <c r="BC662">
        <v>5</v>
      </c>
      <c r="BD662" t="s">
        <v>374</v>
      </c>
      <c r="BR662" s="73"/>
      <c r="CX662" s="73"/>
      <c r="EQ662" s="73"/>
    </row>
    <row r="663" spans="1:209" ht="14.25" customHeight="1" x14ac:dyDescent="0.25">
      <c r="A663" t="s">
        <v>747</v>
      </c>
      <c r="D663" t="s">
        <v>666</v>
      </c>
      <c r="E663" s="73">
        <v>46199</v>
      </c>
      <c r="H663" t="s">
        <v>403</v>
      </c>
      <c r="I663" t="s">
        <v>403</v>
      </c>
      <c r="J663">
        <v>1999</v>
      </c>
      <c r="K663" t="s">
        <v>448</v>
      </c>
      <c r="L663" t="s">
        <v>370</v>
      </c>
      <c r="M663" t="s">
        <v>371</v>
      </c>
      <c r="N663" t="s">
        <v>371</v>
      </c>
      <c r="O663" t="s">
        <v>371</v>
      </c>
      <c r="P663" t="s">
        <v>371</v>
      </c>
      <c r="Q663" t="s">
        <v>371</v>
      </c>
      <c r="R663" t="s">
        <v>372</v>
      </c>
      <c r="S663" t="s">
        <v>372</v>
      </c>
      <c r="T663" t="s">
        <v>372</v>
      </c>
      <c r="U663" t="s">
        <v>367</v>
      </c>
      <c r="W663" t="s">
        <v>372</v>
      </c>
      <c r="X663" t="s">
        <v>373</v>
      </c>
      <c r="Y663" t="s">
        <v>367</v>
      </c>
      <c r="Z663" t="s">
        <v>374</v>
      </c>
      <c r="AB663" s="73"/>
      <c r="AQ663" s="73"/>
      <c r="BG663" t="s">
        <v>371</v>
      </c>
      <c r="BH663" t="s">
        <v>371</v>
      </c>
      <c r="BI663" t="s">
        <v>371</v>
      </c>
      <c r="BJ663" t="s">
        <v>371</v>
      </c>
      <c r="BK663" t="s">
        <v>371</v>
      </c>
      <c r="BL663" t="s">
        <v>371</v>
      </c>
      <c r="BM663" t="s">
        <v>371</v>
      </c>
      <c r="BN663" t="s">
        <v>371</v>
      </c>
      <c r="BO663" t="s">
        <v>371</v>
      </c>
      <c r="BQ663" t="s">
        <v>375</v>
      </c>
      <c r="BR663" s="73"/>
      <c r="CX663" s="73"/>
      <c r="EQ663" s="73"/>
      <c r="FT663">
        <v>0</v>
      </c>
      <c r="FZ663" t="s">
        <v>371</v>
      </c>
      <c r="GA663" t="s">
        <v>371</v>
      </c>
      <c r="GB663" t="s">
        <v>371</v>
      </c>
      <c r="GC663" t="s">
        <v>371</v>
      </c>
      <c r="GD663" t="s">
        <v>371</v>
      </c>
      <c r="GF663" t="s">
        <v>371</v>
      </c>
      <c r="GG663" t="s">
        <v>371</v>
      </c>
      <c r="GH663" t="s">
        <v>371</v>
      </c>
      <c r="GI663" t="s">
        <v>371</v>
      </c>
      <c r="GJ663" t="s">
        <v>371</v>
      </c>
      <c r="GK663" t="s">
        <v>371</v>
      </c>
      <c r="GN663" t="s">
        <v>371</v>
      </c>
      <c r="GO663" t="s">
        <v>371</v>
      </c>
      <c r="GP663" t="s">
        <v>371</v>
      </c>
      <c r="GQ663" t="s">
        <v>371</v>
      </c>
      <c r="GR663" t="s">
        <v>371</v>
      </c>
      <c r="GS663" t="s">
        <v>371</v>
      </c>
      <c r="GT663" t="s">
        <v>371</v>
      </c>
      <c r="GU663" t="s">
        <v>371</v>
      </c>
      <c r="GV663" t="s">
        <v>371</v>
      </c>
      <c r="GW663" t="s">
        <v>371</v>
      </c>
      <c r="GX663" t="s">
        <v>371</v>
      </c>
      <c r="HA663" t="s">
        <v>375</v>
      </c>
    </row>
    <row r="664" spans="1:209" ht="14.25" customHeight="1" x14ac:dyDescent="0.25">
      <c r="A664" t="s">
        <v>747</v>
      </c>
      <c r="B664" t="s">
        <v>376</v>
      </c>
      <c r="C664">
        <v>1</v>
      </c>
      <c r="D664" t="s">
        <v>666</v>
      </c>
      <c r="E664" s="73"/>
      <c r="AA664" t="s">
        <v>377</v>
      </c>
      <c r="AB664" s="73">
        <v>46199</v>
      </c>
      <c r="AE664" t="s">
        <v>684</v>
      </c>
      <c r="AF664" t="s">
        <v>379</v>
      </c>
      <c r="AI664" t="s">
        <v>380</v>
      </c>
      <c r="AJ664">
        <v>1</v>
      </c>
      <c r="AK664" t="s">
        <v>372</v>
      </c>
      <c r="AP664" t="s">
        <v>374</v>
      </c>
      <c r="AQ664" s="73"/>
      <c r="BR664" s="73"/>
      <c r="CX664" s="73"/>
      <c r="EQ664" s="73"/>
    </row>
    <row r="665" spans="1:209" ht="14.25" customHeight="1" x14ac:dyDescent="0.25">
      <c r="A665" t="s">
        <v>747</v>
      </c>
      <c r="B665" t="s">
        <v>381</v>
      </c>
      <c r="C665">
        <v>1</v>
      </c>
      <c r="D665" t="s">
        <v>666</v>
      </c>
      <c r="E665" s="73"/>
      <c r="AB665" s="73"/>
      <c r="AQ665" s="73">
        <v>46199</v>
      </c>
      <c r="AT665" t="s">
        <v>680</v>
      </c>
      <c r="AU665" t="s">
        <v>385</v>
      </c>
      <c r="AV665" t="s">
        <v>383</v>
      </c>
      <c r="AW665" t="s">
        <v>383</v>
      </c>
      <c r="AX665" t="s">
        <v>383</v>
      </c>
      <c r="AY665" t="s">
        <v>383</v>
      </c>
      <c r="AZ665" t="s">
        <v>384</v>
      </c>
      <c r="BA665" t="s">
        <v>367</v>
      </c>
      <c r="BB665" t="s">
        <v>367</v>
      </c>
      <c r="BC665">
        <v>6</v>
      </c>
      <c r="BD665" t="s">
        <v>374</v>
      </c>
      <c r="BR665" s="73"/>
      <c r="CX665" s="73"/>
      <c r="EQ665" s="73"/>
    </row>
    <row r="666" spans="1:209" ht="14.25" customHeight="1" x14ac:dyDescent="0.25">
      <c r="A666" t="s">
        <v>748</v>
      </c>
      <c r="D666" t="s">
        <v>666</v>
      </c>
      <c r="E666" s="73">
        <v>46199</v>
      </c>
      <c r="H666" t="s">
        <v>403</v>
      </c>
      <c r="I666" t="s">
        <v>403</v>
      </c>
      <c r="J666">
        <v>2003</v>
      </c>
      <c r="K666" t="s">
        <v>448</v>
      </c>
      <c r="L666" t="s">
        <v>370</v>
      </c>
      <c r="M666" t="s">
        <v>371</v>
      </c>
      <c r="N666" t="s">
        <v>371</v>
      </c>
      <c r="O666" t="s">
        <v>371</v>
      </c>
      <c r="P666" t="s">
        <v>371</v>
      </c>
      <c r="Q666" t="s">
        <v>371</v>
      </c>
      <c r="R666" t="s">
        <v>372</v>
      </c>
      <c r="S666" t="s">
        <v>372</v>
      </c>
      <c r="T666" t="s">
        <v>367</v>
      </c>
      <c r="U666" t="s">
        <v>367</v>
      </c>
      <c r="W666" t="s">
        <v>367</v>
      </c>
      <c r="X666" t="s">
        <v>373</v>
      </c>
      <c r="Y666" t="s">
        <v>367</v>
      </c>
      <c r="Z666" t="s">
        <v>374</v>
      </c>
      <c r="AB666" s="73"/>
      <c r="AQ666" s="73"/>
      <c r="BG666" t="s">
        <v>371</v>
      </c>
      <c r="BH666" t="s">
        <v>371</v>
      </c>
      <c r="BI666" t="s">
        <v>371</v>
      </c>
      <c r="BJ666" t="s">
        <v>371</v>
      </c>
      <c r="BK666" t="s">
        <v>371</v>
      </c>
      <c r="BL666" t="s">
        <v>371</v>
      </c>
      <c r="BM666" t="s">
        <v>371</v>
      </c>
      <c r="BN666" t="s">
        <v>371</v>
      </c>
      <c r="BO666" t="s">
        <v>371</v>
      </c>
      <c r="BQ666" t="s">
        <v>375</v>
      </c>
      <c r="BR666" s="73"/>
      <c r="CX666" s="73"/>
      <c r="EQ666" s="73"/>
      <c r="FT666">
        <v>0</v>
      </c>
      <c r="FZ666" t="s">
        <v>371</v>
      </c>
      <c r="GA666" t="s">
        <v>371</v>
      </c>
      <c r="GB666" t="s">
        <v>371</v>
      </c>
      <c r="GC666" t="s">
        <v>371</v>
      </c>
      <c r="GD666" t="s">
        <v>371</v>
      </c>
      <c r="GF666" t="s">
        <v>371</v>
      </c>
      <c r="GG666" t="s">
        <v>371</v>
      </c>
      <c r="GH666" t="s">
        <v>371</v>
      </c>
      <c r="GI666" t="s">
        <v>371</v>
      </c>
      <c r="GJ666" t="s">
        <v>371</v>
      </c>
      <c r="GK666" t="s">
        <v>371</v>
      </c>
      <c r="GN666" t="s">
        <v>371</v>
      </c>
      <c r="GO666" t="s">
        <v>371</v>
      </c>
      <c r="GP666" t="s">
        <v>371</v>
      </c>
      <c r="GQ666" t="s">
        <v>371</v>
      </c>
      <c r="GR666" t="s">
        <v>371</v>
      </c>
      <c r="GS666" t="s">
        <v>371</v>
      </c>
      <c r="GT666" t="s">
        <v>371</v>
      </c>
      <c r="GU666" t="s">
        <v>371</v>
      </c>
      <c r="GV666" t="s">
        <v>371</v>
      </c>
      <c r="GW666" t="s">
        <v>371</v>
      </c>
      <c r="GX666" t="s">
        <v>371</v>
      </c>
      <c r="HA666" t="s">
        <v>375</v>
      </c>
    </row>
    <row r="667" spans="1:209" ht="14.25" customHeight="1" x14ac:dyDescent="0.25">
      <c r="A667" t="s">
        <v>748</v>
      </c>
      <c r="B667" t="s">
        <v>376</v>
      </c>
      <c r="C667">
        <v>1</v>
      </c>
      <c r="D667" t="s">
        <v>666</v>
      </c>
      <c r="E667" s="73"/>
      <c r="AA667" t="s">
        <v>377</v>
      </c>
      <c r="AB667" s="73">
        <v>46199</v>
      </c>
      <c r="AE667" t="s">
        <v>684</v>
      </c>
      <c r="AF667" t="s">
        <v>379</v>
      </c>
      <c r="AI667" t="s">
        <v>380</v>
      </c>
      <c r="AJ667">
        <v>1</v>
      </c>
      <c r="AK667" t="s">
        <v>372</v>
      </c>
      <c r="AP667" t="s">
        <v>374</v>
      </c>
      <c r="AQ667" s="73"/>
      <c r="BR667" s="73"/>
      <c r="CX667" s="73"/>
      <c r="EQ667" s="73"/>
    </row>
    <row r="668" spans="1:209" ht="14.25" customHeight="1" x14ac:dyDescent="0.25">
      <c r="A668" t="s">
        <v>749</v>
      </c>
      <c r="D668" t="s">
        <v>666</v>
      </c>
      <c r="E668" s="73">
        <v>46199</v>
      </c>
      <c r="H668" t="s">
        <v>403</v>
      </c>
      <c r="I668" t="s">
        <v>403</v>
      </c>
      <c r="J668">
        <v>1998</v>
      </c>
      <c r="K668" t="s">
        <v>448</v>
      </c>
      <c r="L668" t="s">
        <v>370</v>
      </c>
      <c r="M668" t="s">
        <v>371</v>
      </c>
      <c r="N668" t="s">
        <v>371</v>
      </c>
      <c r="O668" t="s">
        <v>371</v>
      </c>
      <c r="P668" t="s">
        <v>371</v>
      </c>
      <c r="Q668" t="s">
        <v>371</v>
      </c>
      <c r="R668" t="s">
        <v>372</v>
      </c>
      <c r="S668" t="s">
        <v>372</v>
      </c>
      <c r="T668" t="s">
        <v>372</v>
      </c>
      <c r="U668" t="s">
        <v>367</v>
      </c>
      <c r="W668" t="s">
        <v>367</v>
      </c>
      <c r="X668" t="s">
        <v>373</v>
      </c>
      <c r="Y668" t="s">
        <v>367</v>
      </c>
      <c r="Z668" t="s">
        <v>374</v>
      </c>
      <c r="AB668" s="73"/>
      <c r="AQ668" s="73"/>
      <c r="BG668" t="s">
        <v>371</v>
      </c>
      <c r="BH668" t="s">
        <v>371</v>
      </c>
      <c r="BI668" t="s">
        <v>371</v>
      </c>
      <c r="BJ668" t="s">
        <v>371</v>
      </c>
      <c r="BK668" t="s">
        <v>371</v>
      </c>
      <c r="BL668" t="s">
        <v>371</v>
      </c>
      <c r="BM668" t="s">
        <v>371</v>
      </c>
      <c r="BN668" t="s">
        <v>371</v>
      </c>
      <c r="BO668" t="s">
        <v>371</v>
      </c>
      <c r="BQ668" t="s">
        <v>375</v>
      </c>
      <c r="BR668" s="73"/>
      <c r="CX668" s="73"/>
      <c r="EQ668" s="73"/>
      <c r="FT668">
        <v>0</v>
      </c>
      <c r="FZ668" t="s">
        <v>371</v>
      </c>
      <c r="GA668" t="s">
        <v>371</v>
      </c>
      <c r="GB668" t="s">
        <v>371</v>
      </c>
      <c r="GC668" t="s">
        <v>371</v>
      </c>
      <c r="GD668" t="s">
        <v>371</v>
      </c>
      <c r="GF668" t="s">
        <v>371</v>
      </c>
      <c r="GG668" t="s">
        <v>371</v>
      </c>
      <c r="GH668" t="s">
        <v>371</v>
      </c>
      <c r="GI668" t="s">
        <v>371</v>
      </c>
      <c r="GJ668" t="s">
        <v>371</v>
      </c>
      <c r="GK668" t="s">
        <v>371</v>
      </c>
      <c r="GN668" t="s">
        <v>371</v>
      </c>
      <c r="GO668" t="s">
        <v>371</v>
      </c>
      <c r="GP668" t="s">
        <v>371</v>
      </c>
      <c r="GQ668" t="s">
        <v>371</v>
      </c>
      <c r="GR668" t="s">
        <v>371</v>
      </c>
      <c r="GS668" t="s">
        <v>371</v>
      </c>
      <c r="GT668" t="s">
        <v>371</v>
      </c>
      <c r="GU668" t="s">
        <v>371</v>
      </c>
      <c r="GV668" t="s">
        <v>371</v>
      </c>
      <c r="GW668" t="s">
        <v>371</v>
      </c>
      <c r="GX668" t="s">
        <v>371</v>
      </c>
      <c r="HA668" t="s">
        <v>375</v>
      </c>
    </row>
    <row r="669" spans="1:209" ht="14.25" customHeight="1" x14ac:dyDescent="0.25">
      <c r="A669" t="s">
        <v>749</v>
      </c>
      <c r="B669" t="s">
        <v>376</v>
      </c>
      <c r="C669">
        <v>1</v>
      </c>
      <c r="D669" t="s">
        <v>666</v>
      </c>
      <c r="E669" s="73"/>
      <c r="AA669" t="s">
        <v>377</v>
      </c>
      <c r="AB669" s="73">
        <v>46199</v>
      </c>
      <c r="AE669" t="s">
        <v>667</v>
      </c>
      <c r="AF669" t="s">
        <v>379</v>
      </c>
      <c r="AI669" t="s">
        <v>380</v>
      </c>
      <c r="AJ669">
        <v>0</v>
      </c>
      <c r="AK669" t="s">
        <v>372</v>
      </c>
      <c r="AP669" t="s">
        <v>374</v>
      </c>
      <c r="AQ669" s="73"/>
      <c r="BR669" s="73"/>
      <c r="CX669" s="73"/>
      <c r="EQ669" s="73"/>
    </row>
    <row r="670" spans="1:209" ht="14.25" customHeight="1" x14ac:dyDescent="0.25">
      <c r="A670" t="s">
        <v>750</v>
      </c>
      <c r="D670" t="s">
        <v>666</v>
      </c>
      <c r="E670" s="73">
        <v>46199</v>
      </c>
      <c r="H670" t="s">
        <v>403</v>
      </c>
      <c r="I670" t="s">
        <v>403</v>
      </c>
      <c r="J670">
        <v>2001</v>
      </c>
      <c r="K670" t="s">
        <v>448</v>
      </c>
      <c r="L670" t="s">
        <v>370</v>
      </c>
      <c r="M670" t="s">
        <v>371</v>
      </c>
      <c r="N670" t="s">
        <v>371</v>
      </c>
      <c r="O670" t="s">
        <v>371</v>
      </c>
      <c r="P670" t="s">
        <v>371</v>
      </c>
      <c r="Q670" t="s">
        <v>371</v>
      </c>
      <c r="R670" t="s">
        <v>372</v>
      </c>
      <c r="S670" t="s">
        <v>372</v>
      </c>
      <c r="T670" t="s">
        <v>367</v>
      </c>
      <c r="U670" t="s">
        <v>367</v>
      </c>
      <c r="W670" t="s">
        <v>367</v>
      </c>
      <c r="X670" t="s">
        <v>373</v>
      </c>
      <c r="Y670" t="s">
        <v>367</v>
      </c>
      <c r="Z670" t="s">
        <v>374</v>
      </c>
      <c r="AB670" s="73"/>
      <c r="AQ670" s="73"/>
      <c r="BG670" t="s">
        <v>371</v>
      </c>
      <c r="BH670" t="s">
        <v>371</v>
      </c>
      <c r="BI670" t="s">
        <v>371</v>
      </c>
      <c r="BJ670" t="s">
        <v>371</v>
      </c>
      <c r="BK670" t="s">
        <v>371</v>
      </c>
      <c r="BL670" t="s">
        <v>371</v>
      </c>
      <c r="BM670" t="s">
        <v>371</v>
      </c>
      <c r="BN670" t="s">
        <v>371</v>
      </c>
      <c r="BO670" t="s">
        <v>371</v>
      </c>
      <c r="BQ670" t="s">
        <v>375</v>
      </c>
      <c r="BR670" s="73"/>
      <c r="CX670" s="73"/>
      <c r="EQ670" s="73"/>
      <c r="FT670">
        <v>0</v>
      </c>
      <c r="FZ670" t="s">
        <v>371</v>
      </c>
      <c r="GA670" t="s">
        <v>371</v>
      </c>
      <c r="GB670" t="s">
        <v>371</v>
      </c>
      <c r="GC670" t="s">
        <v>371</v>
      </c>
      <c r="GD670" t="s">
        <v>371</v>
      </c>
      <c r="GF670" t="s">
        <v>371</v>
      </c>
      <c r="GG670" t="s">
        <v>371</v>
      </c>
      <c r="GH670" t="s">
        <v>371</v>
      </c>
      <c r="GI670" t="s">
        <v>371</v>
      </c>
      <c r="GJ670" t="s">
        <v>371</v>
      </c>
      <c r="GK670" t="s">
        <v>371</v>
      </c>
      <c r="GN670" t="s">
        <v>371</v>
      </c>
      <c r="GO670" t="s">
        <v>371</v>
      </c>
      <c r="GP670" t="s">
        <v>371</v>
      </c>
      <c r="GQ670" t="s">
        <v>371</v>
      </c>
      <c r="GR670" t="s">
        <v>371</v>
      </c>
      <c r="GS670" t="s">
        <v>371</v>
      </c>
      <c r="GT670" t="s">
        <v>371</v>
      </c>
      <c r="GU670" t="s">
        <v>371</v>
      </c>
      <c r="GV670" t="s">
        <v>371</v>
      </c>
      <c r="GW670" t="s">
        <v>371</v>
      </c>
      <c r="GX670" t="s">
        <v>371</v>
      </c>
      <c r="HA670" t="s">
        <v>375</v>
      </c>
    </row>
    <row r="671" spans="1:209" ht="14.25" customHeight="1" x14ac:dyDescent="0.25">
      <c r="A671" t="s">
        <v>750</v>
      </c>
      <c r="B671" t="s">
        <v>376</v>
      </c>
      <c r="C671">
        <v>1</v>
      </c>
      <c r="D671" t="s">
        <v>666</v>
      </c>
      <c r="E671" s="73"/>
      <c r="AA671" t="s">
        <v>377</v>
      </c>
      <c r="AB671" s="73">
        <v>46199</v>
      </c>
      <c r="AE671" t="s">
        <v>667</v>
      </c>
      <c r="AF671" t="s">
        <v>379</v>
      </c>
      <c r="AI671" t="s">
        <v>380</v>
      </c>
      <c r="AJ671">
        <v>0</v>
      </c>
      <c r="AK671" t="s">
        <v>372</v>
      </c>
      <c r="AP671" t="s">
        <v>374</v>
      </c>
      <c r="AQ671" s="73"/>
      <c r="BR671" s="73"/>
      <c r="CX671" s="73"/>
      <c r="EQ671" s="73"/>
    </row>
    <row r="672" spans="1:209" ht="14.25" customHeight="1" x14ac:dyDescent="0.25">
      <c r="A672" t="s">
        <v>750</v>
      </c>
      <c r="B672" t="s">
        <v>381</v>
      </c>
      <c r="C672">
        <v>1</v>
      </c>
      <c r="D672" t="s">
        <v>666</v>
      </c>
      <c r="E672" s="73"/>
      <c r="AB672" s="73"/>
      <c r="AQ672" s="73">
        <v>46199</v>
      </c>
      <c r="AT672" t="s">
        <v>680</v>
      </c>
      <c r="AU672" t="s">
        <v>385</v>
      </c>
      <c r="AV672" t="s">
        <v>384</v>
      </c>
      <c r="AW672" t="s">
        <v>383</v>
      </c>
      <c r="AX672" t="s">
        <v>383</v>
      </c>
      <c r="AY672" t="s">
        <v>385</v>
      </c>
      <c r="AZ672" t="s">
        <v>383</v>
      </c>
      <c r="BA672" t="s">
        <v>367</v>
      </c>
      <c r="BB672" t="s">
        <v>367</v>
      </c>
      <c r="BC672">
        <v>7</v>
      </c>
      <c r="BD672" t="s">
        <v>374</v>
      </c>
      <c r="BR672" s="73"/>
      <c r="CX672" s="73"/>
      <c r="EQ672" s="73"/>
    </row>
    <row r="673" spans="1:209" ht="14.25" customHeight="1" x14ac:dyDescent="0.25">
      <c r="A673" t="s">
        <v>751</v>
      </c>
      <c r="D673" t="s">
        <v>666</v>
      </c>
      <c r="E673" s="73">
        <v>46199</v>
      </c>
      <c r="H673" t="s">
        <v>403</v>
      </c>
      <c r="I673" t="s">
        <v>403</v>
      </c>
      <c r="J673">
        <v>2002</v>
      </c>
      <c r="K673" t="s">
        <v>448</v>
      </c>
      <c r="L673" t="s">
        <v>370</v>
      </c>
      <c r="M673" t="s">
        <v>371</v>
      </c>
      <c r="N673" t="s">
        <v>371</v>
      </c>
      <c r="O673" t="s">
        <v>371</v>
      </c>
      <c r="P673" t="s">
        <v>371</v>
      </c>
      <c r="Q673" t="s">
        <v>371</v>
      </c>
      <c r="R673" t="s">
        <v>372</v>
      </c>
      <c r="S673" t="s">
        <v>372</v>
      </c>
      <c r="T673" t="s">
        <v>372</v>
      </c>
      <c r="U673" t="s">
        <v>367</v>
      </c>
      <c r="W673" t="s">
        <v>367</v>
      </c>
      <c r="X673" t="s">
        <v>373</v>
      </c>
      <c r="Y673" t="s">
        <v>367</v>
      </c>
      <c r="Z673" t="s">
        <v>374</v>
      </c>
      <c r="AB673" s="73"/>
      <c r="AQ673" s="73"/>
      <c r="BG673" t="s">
        <v>371</v>
      </c>
      <c r="BH673" t="s">
        <v>371</v>
      </c>
      <c r="BI673" t="s">
        <v>371</v>
      </c>
      <c r="BJ673" t="s">
        <v>371</v>
      </c>
      <c r="BK673" t="s">
        <v>371</v>
      </c>
      <c r="BL673" t="s">
        <v>371</v>
      </c>
      <c r="BM673" t="s">
        <v>371</v>
      </c>
      <c r="BN673" t="s">
        <v>371</v>
      </c>
      <c r="BO673" t="s">
        <v>371</v>
      </c>
      <c r="BQ673" t="s">
        <v>375</v>
      </c>
      <c r="BR673" s="73"/>
      <c r="CX673" s="73"/>
      <c r="EQ673" s="73"/>
      <c r="FT673">
        <v>0</v>
      </c>
      <c r="FZ673" t="s">
        <v>371</v>
      </c>
      <c r="GA673" t="s">
        <v>371</v>
      </c>
      <c r="GB673" t="s">
        <v>371</v>
      </c>
      <c r="GC673" t="s">
        <v>371</v>
      </c>
      <c r="GD673" t="s">
        <v>371</v>
      </c>
      <c r="GF673" t="s">
        <v>371</v>
      </c>
      <c r="GG673" t="s">
        <v>371</v>
      </c>
      <c r="GH673" t="s">
        <v>371</v>
      </c>
      <c r="GI673" t="s">
        <v>371</v>
      </c>
      <c r="GJ673" t="s">
        <v>371</v>
      </c>
      <c r="GK673" t="s">
        <v>371</v>
      </c>
      <c r="GN673" t="s">
        <v>371</v>
      </c>
      <c r="GO673" t="s">
        <v>371</v>
      </c>
      <c r="GP673" t="s">
        <v>371</v>
      </c>
      <c r="GQ673" t="s">
        <v>371</v>
      </c>
      <c r="GR673" t="s">
        <v>371</v>
      </c>
      <c r="GS673" t="s">
        <v>371</v>
      </c>
      <c r="GT673" t="s">
        <v>371</v>
      </c>
      <c r="GU673" t="s">
        <v>371</v>
      </c>
      <c r="GV673" t="s">
        <v>371</v>
      </c>
      <c r="GW673" t="s">
        <v>371</v>
      </c>
      <c r="GX673" t="s">
        <v>371</v>
      </c>
      <c r="HA673" t="s">
        <v>375</v>
      </c>
    </row>
    <row r="674" spans="1:209" ht="14.25" customHeight="1" x14ac:dyDescent="0.25">
      <c r="A674" t="s">
        <v>751</v>
      </c>
      <c r="B674" t="s">
        <v>376</v>
      </c>
      <c r="C674">
        <v>1</v>
      </c>
      <c r="D674" t="s">
        <v>666</v>
      </c>
      <c r="E674" s="73"/>
      <c r="AA674" t="s">
        <v>377</v>
      </c>
      <c r="AB674" s="73">
        <v>46199</v>
      </c>
      <c r="AE674" t="s">
        <v>667</v>
      </c>
      <c r="AF674" t="s">
        <v>379</v>
      </c>
      <c r="AI674" t="s">
        <v>380</v>
      </c>
      <c r="AJ674">
        <v>0</v>
      </c>
      <c r="AK674" t="s">
        <v>372</v>
      </c>
      <c r="AP674" t="s">
        <v>374</v>
      </c>
      <c r="AQ674" s="73"/>
      <c r="BR674" s="73"/>
      <c r="CX674" s="73"/>
      <c r="EQ674" s="73"/>
    </row>
    <row r="675" spans="1:209" ht="14.25" customHeight="1" x14ac:dyDescent="0.25">
      <c r="A675" t="s">
        <v>751</v>
      </c>
      <c r="B675" t="s">
        <v>381</v>
      </c>
      <c r="C675">
        <v>1</v>
      </c>
      <c r="D675" t="s">
        <v>666</v>
      </c>
      <c r="E675" s="73"/>
      <c r="AB675" s="73"/>
      <c r="AQ675" s="73">
        <v>46199</v>
      </c>
      <c r="AT675" t="s">
        <v>670</v>
      </c>
      <c r="AU675" t="s">
        <v>383</v>
      </c>
      <c r="AV675" t="s">
        <v>383</v>
      </c>
      <c r="AW675" t="s">
        <v>384</v>
      </c>
      <c r="AX675" t="s">
        <v>385</v>
      </c>
      <c r="AY675" t="s">
        <v>384</v>
      </c>
      <c r="AZ675" t="s">
        <v>385</v>
      </c>
      <c r="BA675" t="s">
        <v>367</v>
      </c>
      <c r="BB675" t="s">
        <v>367</v>
      </c>
      <c r="BC675">
        <v>6</v>
      </c>
      <c r="BD675" t="s">
        <v>374</v>
      </c>
      <c r="BR675" s="73"/>
      <c r="CX675" s="73"/>
      <c r="EQ675" s="73"/>
    </row>
    <row r="676" spans="1:209" ht="14.25" customHeight="1" x14ac:dyDescent="0.25">
      <c r="A676" t="s">
        <v>752</v>
      </c>
      <c r="D676" t="s">
        <v>666</v>
      </c>
      <c r="E676" s="73">
        <v>46199</v>
      </c>
      <c r="H676" t="s">
        <v>368</v>
      </c>
      <c r="I676" t="s">
        <v>368</v>
      </c>
      <c r="J676">
        <v>2000</v>
      </c>
      <c r="K676" t="s">
        <v>561</v>
      </c>
      <c r="L676" t="s">
        <v>371</v>
      </c>
      <c r="M676" t="s">
        <v>371</v>
      </c>
      <c r="N676" t="s">
        <v>371</v>
      </c>
      <c r="O676" t="s">
        <v>371</v>
      </c>
      <c r="P676" t="s">
        <v>371</v>
      </c>
      <c r="Q676" t="s">
        <v>370</v>
      </c>
      <c r="R676" t="s">
        <v>372</v>
      </c>
      <c r="S676" t="s">
        <v>367</v>
      </c>
      <c r="T676" t="s">
        <v>372</v>
      </c>
      <c r="U676" t="s">
        <v>367</v>
      </c>
      <c r="W676" t="s">
        <v>367</v>
      </c>
      <c r="X676" t="s">
        <v>373</v>
      </c>
      <c r="Y676" t="s">
        <v>367</v>
      </c>
      <c r="Z676" t="s">
        <v>374</v>
      </c>
      <c r="AB676" s="73"/>
      <c r="AQ676" s="73"/>
      <c r="BG676" t="s">
        <v>371</v>
      </c>
      <c r="BH676" t="s">
        <v>371</v>
      </c>
      <c r="BI676" t="s">
        <v>371</v>
      </c>
      <c r="BJ676" t="s">
        <v>371</v>
      </c>
      <c r="BK676" t="s">
        <v>371</v>
      </c>
      <c r="BL676" t="s">
        <v>371</v>
      </c>
      <c r="BM676" t="s">
        <v>371</v>
      </c>
      <c r="BN676" t="s">
        <v>371</v>
      </c>
      <c r="BO676" t="s">
        <v>371</v>
      </c>
      <c r="BQ676" t="s">
        <v>375</v>
      </c>
      <c r="BR676" s="73"/>
      <c r="CX676" s="73"/>
      <c r="EQ676" s="73"/>
      <c r="FT676">
        <v>0</v>
      </c>
      <c r="FZ676" t="s">
        <v>371</v>
      </c>
      <c r="GA676" t="s">
        <v>371</v>
      </c>
      <c r="GB676" t="s">
        <v>371</v>
      </c>
      <c r="GC676" t="s">
        <v>371</v>
      </c>
      <c r="GD676" t="s">
        <v>371</v>
      </c>
      <c r="GF676" t="s">
        <v>371</v>
      </c>
      <c r="GG676" t="s">
        <v>371</v>
      </c>
      <c r="GH676" t="s">
        <v>371</v>
      </c>
      <c r="GI676" t="s">
        <v>371</v>
      </c>
      <c r="GJ676" t="s">
        <v>371</v>
      </c>
      <c r="GK676" t="s">
        <v>371</v>
      </c>
      <c r="GN676" t="s">
        <v>371</v>
      </c>
      <c r="GO676" t="s">
        <v>371</v>
      </c>
      <c r="GP676" t="s">
        <v>371</v>
      </c>
      <c r="GQ676" t="s">
        <v>371</v>
      </c>
      <c r="GR676" t="s">
        <v>371</v>
      </c>
      <c r="GS676" t="s">
        <v>371</v>
      </c>
      <c r="GT676" t="s">
        <v>371</v>
      </c>
      <c r="GU676" t="s">
        <v>371</v>
      </c>
      <c r="GV676" t="s">
        <v>371</v>
      </c>
      <c r="GW676" t="s">
        <v>371</v>
      </c>
      <c r="GX676" t="s">
        <v>371</v>
      </c>
      <c r="HA676" t="s">
        <v>375</v>
      </c>
    </row>
    <row r="677" spans="1:209" ht="14.25" customHeight="1" x14ac:dyDescent="0.25">
      <c r="A677" t="s">
        <v>752</v>
      </c>
      <c r="B677" t="s">
        <v>376</v>
      </c>
      <c r="C677">
        <v>1</v>
      </c>
      <c r="D677" t="s">
        <v>666</v>
      </c>
      <c r="E677" s="73"/>
      <c r="AA677" t="s">
        <v>377</v>
      </c>
      <c r="AB677" s="73">
        <v>46199</v>
      </c>
      <c r="AE677" t="s">
        <v>667</v>
      </c>
      <c r="AF677" t="s">
        <v>379</v>
      </c>
      <c r="AI677" t="s">
        <v>380</v>
      </c>
      <c r="AJ677">
        <v>0</v>
      </c>
      <c r="AK677" t="s">
        <v>372</v>
      </c>
      <c r="AP677" t="s">
        <v>374</v>
      </c>
      <c r="AQ677" s="73"/>
      <c r="BR677" s="73"/>
      <c r="CX677" s="73"/>
      <c r="EQ677" s="73"/>
    </row>
    <row r="678" spans="1:209" ht="14.25" customHeight="1" x14ac:dyDescent="0.25">
      <c r="A678" t="s">
        <v>752</v>
      </c>
      <c r="B678" t="s">
        <v>381</v>
      </c>
      <c r="C678">
        <v>1</v>
      </c>
      <c r="D678" t="s">
        <v>666</v>
      </c>
      <c r="E678" s="73"/>
      <c r="AB678" s="73"/>
      <c r="AQ678" s="73">
        <v>46199</v>
      </c>
      <c r="AT678" t="s">
        <v>680</v>
      </c>
      <c r="AU678" t="s">
        <v>385</v>
      </c>
      <c r="AV678" t="s">
        <v>385</v>
      </c>
      <c r="AW678" t="s">
        <v>384</v>
      </c>
      <c r="AX678" t="s">
        <v>385</v>
      </c>
      <c r="AY678" t="s">
        <v>383</v>
      </c>
      <c r="AZ678" t="s">
        <v>383</v>
      </c>
      <c r="BA678" t="s">
        <v>372</v>
      </c>
      <c r="BB678" t="s">
        <v>367</v>
      </c>
      <c r="BC678">
        <v>10</v>
      </c>
      <c r="BD678" t="s">
        <v>374</v>
      </c>
      <c r="BR678" s="73"/>
      <c r="CX678" s="73"/>
      <c r="EQ678" s="73"/>
    </row>
    <row r="679" spans="1:209" ht="14.25" customHeight="1" x14ac:dyDescent="0.25">
      <c r="A679" t="s">
        <v>753</v>
      </c>
      <c r="D679" t="s">
        <v>666</v>
      </c>
      <c r="E679" s="73">
        <v>46199</v>
      </c>
      <c r="H679" t="s">
        <v>368</v>
      </c>
      <c r="I679" t="s">
        <v>368</v>
      </c>
      <c r="J679">
        <v>1998</v>
      </c>
      <c r="K679" t="s">
        <v>561</v>
      </c>
      <c r="L679" t="s">
        <v>370</v>
      </c>
      <c r="M679" t="s">
        <v>371</v>
      </c>
      <c r="N679" t="s">
        <v>371</v>
      </c>
      <c r="O679" t="s">
        <v>371</v>
      </c>
      <c r="P679" t="s">
        <v>371</v>
      </c>
      <c r="Q679" t="s">
        <v>371</v>
      </c>
      <c r="R679" t="s">
        <v>372</v>
      </c>
      <c r="S679" t="s">
        <v>372</v>
      </c>
      <c r="T679" t="s">
        <v>372</v>
      </c>
      <c r="U679" t="s">
        <v>367</v>
      </c>
      <c r="W679" t="s">
        <v>367</v>
      </c>
      <c r="X679" t="s">
        <v>373</v>
      </c>
      <c r="Y679" t="s">
        <v>367</v>
      </c>
      <c r="Z679" t="s">
        <v>374</v>
      </c>
      <c r="AB679" s="73"/>
      <c r="AQ679" s="73"/>
      <c r="BG679" t="s">
        <v>371</v>
      </c>
      <c r="BH679" t="s">
        <v>371</v>
      </c>
      <c r="BI679" t="s">
        <v>371</v>
      </c>
      <c r="BJ679" t="s">
        <v>371</v>
      </c>
      <c r="BK679" t="s">
        <v>371</v>
      </c>
      <c r="BL679" t="s">
        <v>371</v>
      </c>
      <c r="BM679" t="s">
        <v>371</v>
      </c>
      <c r="BN679" t="s">
        <v>371</v>
      </c>
      <c r="BO679" t="s">
        <v>371</v>
      </c>
      <c r="BQ679" t="s">
        <v>375</v>
      </c>
      <c r="BR679" s="73"/>
      <c r="CX679" s="73"/>
      <c r="EQ679" s="73"/>
      <c r="FT679">
        <v>0</v>
      </c>
      <c r="FZ679" t="s">
        <v>371</v>
      </c>
      <c r="GA679" t="s">
        <v>371</v>
      </c>
      <c r="GB679" t="s">
        <v>371</v>
      </c>
      <c r="GC679" t="s">
        <v>371</v>
      </c>
      <c r="GD679" t="s">
        <v>371</v>
      </c>
      <c r="GF679" t="s">
        <v>371</v>
      </c>
      <c r="GG679" t="s">
        <v>371</v>
      </c>
      <c r="GH679" t="s">
        <v>371</v>
      </c>
      <c r="GI679" t="s">
        <v>371</v>
      </c>
      <c r="GJ679" t="s">
        <v>371</v>
      </c>
      <c r="GK679" t="s">
        <v>371</v>
      </c>
      <c r="GN679" t="s">
        <v>371</v>
      </c>
      <c r="GO679" t="s">
        <v>371</v>
      </c>
      <c r="GP679" t="s">
        <v>371</v>
      </c>
      <c r="GQ679" t="s">
        <v>371</v>
      </c>
      <c r="GR679" t="s">
        <v>371</v>
      </c>
      <c r="GS679" t="s">
        <v>371</v>
      </c>
      <c r="GT679" t="s">
        <v>371</v>
      </c>
      <c r="GU679" t="s">
        <v>371</v>
      </c>
      <c r="GV679" t="s">
        <v>371</v>
      </c>
      <c r="GW679" t="s">
        <v>371</v>
      </c>
      <c r="GX679" t="s">
        <v>371</v>
      </c>
      <c r="HA679" t="s">
        <v>375</v>
      </c>
    </row>
    <row r="680" spans="1:209" ht="14.25" customHeight="1" x14ac:dyDescent="0.25">
      <c r="A680" t="s">
        <v>753</v>
      </c>
      <c r="B680" t="s">
        <v>376</v>
      </c>
      <c r="C680">
        <v>1</v>
      </c>
      <c r="D680" t="s">
        <v>666</v>
      </c>
      <c r="E680" s="73"/>
      <c r="AA680" t="s">
        <v>377</v>
      </c>
      <c r="AB680" s="73">
        <v>46199</v>
      </c>
      <c r="AE680" t="s">
        <v>667</v>
      </c>
      <c r="AF680" t="s">
        <v>379</v>
      </c>
      <c r="AI680" t="s">
        <v>380</v>
      </c>
      <c r="AJ680">
        <v>0</v>
      </c>
      <c r="AK680" t="s">
        <v>372</v>
      </c>
      <c r="AP680" t="s">
        <v>374</v>
      </c>
      <c r="AQ680" s="73"/>
      <c r="BR680" s="73"/>
      <c r="CX680" s="73"/>
      <c r="EQ680" s="73"/>
    </row>
    <row r="681" spans="1:209" ht="14.25" customHeight="1" x14ac:dyDescent="0.25">
      <c r="A681" t="s">
        <v>753</v>
      </c>
      <c r="B681" t="s">
        <v>381</v>
      </c>
      <c r="C681">
        <v>1</v>
      </c>
      <c r="D681" t="s">
        <v>666</v>
      </c>
      <c r="E681" s="73"/>
      <c r="AB681" s="73"/>
      <c r="AQ681" s="73">
        <v>46199</v>
      </c>
      <c r="AT681" t="s">
        <v>674</v>
      </c>
      <c r="AU681" t="s">
        <v>385</v>
      </c>
      <c r="AV681" t="s">
        <v>384</v>
      </c>
      <c r="AW681" t="s">
        <v>384</v>
      </c>
      <c r="AX681" t="s">
        <v>385</v>
      </c>
      <c r="AY681" t="s">
        <v>384</v>
      </c>
      <c r="AZ681" t="s">
        <v>404</v>
      </c>
      <c r="BA681" t="s">
        <v>367</v>
      </c>
      <c r="BB681" t="s">
        <v>367</v>
      </c>
      <c r="BC681">
        <v>7</v>
      </c>
      <c r="BD681" t="s">
        <v>374</v>
      </c>
      <c r="BR681" s="73"/>
      <c r="CX681" s="73"/>
      <c r="EQ681" s="73"/>
    </row>
    <row r="682" spans="1:209" ht="14.25" customHeight="1" x14ac:dyDescent="0.25">
      <c r="A682" t="s">
        <v>754</v>
      </c>
      <c r="D682" t="s">
        <v>666</v>
      </c>
      <c r="E682" s="73">
        <v>46199</v>
      </c>
      <c r="H682" t="s">
        <v>368</v>
      </c>
      <c r="I682" t="s">
        <v>368</v>
      </c>
      <c r="J682">
        <v>1980</v>
      </c>
      <c r="K682" t="s">
        <v>561</v>
      </c>
      <c r="L682" t="s">
        <v>370</v>
      </c>
      <c r="M682" t="s">
        <v>371</v>
      </c>
      <c r="N682" t="s">
        <v>371</v>
      </c>
      <c r="O682" t="s">
        <v>371</v>
      </c>
      <c r="P682" t="s">
        <v>371</v>
      </c>
      <c r="Q682" t="s">
        <v>371</v>
      </c>
      <c r="R682" t="s">
        <v>372</v>
      </c>
      <c r="S682" t="s">
        <v>372</v>
      </c>
      <c r="T682" t="s">
        <v>372</v>
      </c>
      <c r="U682" t="s">
        <v>367</v>
      </c>
      <c r="W682" t="s">
        <v>367</v>
      </c>
      <c r="X682" t="s">
        <v>399</v>
      </c>
      <c r="Y682" t="s">
        <v>421</v>
      </c>
      <c r="Z682" t="s">
        <v>374</v>
      </c>
      <c r="AB682" s="73"/>
      <c r="AQ682" s="73"/>
      <c r="BG682" t="s">
        <v>371</v>
      </c>
      <c r="BH682" t="s">
        <v>371</v>
      </c>
      <c r="BI682" t="s">
        <v>371</v>
      </c>
      <c r="BJ682" t="s">
        <v>371</v>
      </c>
      <c r="BK682" t="s">
        <v>371</v>
      </c>
      <c r="BL682" t="s">
        <v>371</v>
      </c>
      <c r="BM682" t="s">
        <v>371</v>
      </c>
      <c r="BN682" t="s">
        <v>371</v>
      </c>
      <c r="BO682" t="s">
        <v>371</v>
      </c>
      <c r="BQ682" t="s">
        <v>375</v>
      </c>
      <c r="BR682" s="73"/>
      <c r="CX682" s="73"/>
      <c r="EQ682" s="73"/>
      <c r="FT682">
        <v>0</v>
      </c>
      <c r="FZ682" t="s">
        <v>371</v>
      </c>
      <c r="GA682" t="s">
        <v>371</v>
      </c>
      <c r="GB682" t="s">
        <v>371</v>
      </c>
      <c r="GC682" t="s">
        <v>371</v>
      </c>
      <c r="GD682" t="s">
        <v>371</v>
      </c>
      <c r="GF682" t="s">
        <v>371</v>
      </c>
      <c r="GG682" t="s">
        <v>371</v>
      </c>
      <c r="GH682" t="s">
        <v>371</v>
      </c>
      <c r="GI682" t="s">
        <v>371</v>
      </c>
      <c r="GJ682" t="s">
        <v>371</v>
      </c>
      <c r="GK682" t="s">
        <v>371</v>
      </c>
      <c r="GN682" t="s">
        <v>371</v>
      </c>
      <c r="GO682" t="s">
        <v>371</v>
      </c>
      <c r="GP682" t="s">
        <v>371</v>
      </c>
      <c r="GQ682" t="s">
        <v>371</v>
      </c>
      <c r="GR682" t="s">
        <v>371</v>
      </c>
      <c r="GS682" t="s">
        <v>371</v>
      </c>
      <c r="GT682" t="s">
        <v>371</v>
      </c>
      <c r="GU682" t="s">
        <v>371</v>
      </c>
      <c r="GV682" t="s">
        <v>371</v>
      </c>
      <c r="GW682" t="s">
        <v>371</v>
      </c>
      <c r="GX682" t="s">
        <v>371</v>
      </c>
      <c r="HA682" t="s">
        <v>375</v>
      </c>
    </row>
    <row r="683" spans="1:209" ht="14.25" customHeight="1" x14ac:dyDescent="0.25">
      <c r="A683" t="s">
        <v>754</v>
      </c>
      <c r="B683" t="s">
        <v>376</v>
      </c>
      <c r="C683">
        <v>1</v>
      </c>
      <c r="D683" t="s">
        <v>666</v>
      </c>
      <c r="E683" s="73"/>
      <c r="AA683" t="s">
        <v>377</v>
      </c>
      <c r="AB683" s="73">
        <v>46199</v>
      </c>
      <c r="AE683" t="s">
        <v>667</v>
      </c>
      <c r="AF683" t="s">
        <v>379</v>
      </c>
      <c r="AI683" t="s">
        <v>380</v>
      </c>
      <c r="AJ683">
        <v>0</v>
      </c>
      <c r="AK683" t="s">
        <v>372</v>
      </c>
      <c r="AP683" t="s">
        <v>374</v>
      </c>
      <c r="AQ683" s="73"/>
      <c r="BR683" s="73"/>
      <c r="CX683" s="73"/>
      <c r="EQ683" s="73"/>
    </row>
    <row r="684" spans="1:209" ht="14.25" customHeight="1" x14ac:dyDescent="0.25">
      <c r="A684" t="s">
        <v>754</v>
      </c>
      <c r="B684" t="s">
        <v>381</v>
      </c>
      <c r="C684">
        <v>1</v>
      </c>
      <c r="D684" t="s">
        <v>666</v>
      </c>
      <c r="E684" s="73"/>
      <c r="AB684" s="73"/>
      <c r="AQ684" s="73">
        <v>46199</v>
      </c>
      <c r="AT684" t="s">
        <v>680</v>
      </c>
      <c r="AU684" t="s">
        <v>383</v>
      </c>
      <c r="AV684" t="s">
        <v>383</v>
      </c>
      <c r="AW684" t="s">
        <v>384</v>
      </c>
      <c r="AX684" t="s">
        <v>385</v>
      </c>
      <c r="AY684" t="s">
        <v>383</v>
      </c>
      <c r="AZ684" t="s">
        <v>383</v>
      </c>
      <c r="BA684" t="s">
        <v>367</v>
      </c>
      <c r="BB684" t="s">
        <v>372</v>
      </c>
      <c r="BC684">
        <v>8</v>
      </c>
      <c r="BD684" t="s">
        <v>374</v>
      </c>
      <c r="BR684" s="73"/>
      <c r="CX684" s="73"/>
      <c r="EQ684" s="73"/>
    </row>
    <row r="685" spans="1:209" ht="14.25" customHeight="1" x14ac:dyDescent="0.25">
      <c r="A685" t="s">
        <v>755</v>
      </c>
      <c r="D685" t="s">
        <v>666</v>
      </c>
      <c r="E685" s="73">
        <v>46199</v>
      </c>
      <c r="H685" t="s">
        <v>368</v>
      </c>
      <c r="I685" t="s">
        <v>368</v>
      </c>
      <c r="J685">
        <v>1982</v>
      </c>
      <c r="K685" t="s">
        <v>561</v>
      </c>
      <c r="L685" t="s">
        <v>370</v>
      </c>
      <c r="M685" t="s">
        <v>371</v>
      </c>
      <c r="N685" t="s">
        <v>371</v>
      </c>
      <c r="O685" t="s">
        <v>371</v>
      </c>
      <c r="P685" t="s">
        <v>371</v>
      </c>
      <c r="Q685" t="s">
        <v>371</v>
      </c>
      <c r="R685" t="s">
        <v>372</v>
      </c>
      <c r="S685" t="s">
        <v>372</v>
      </c>
      <c r="T685" t="s">
        <v>372</v>
      </c>
      <c r="U685" t="s">
        <v>367</v>
      </c>
      <c r="W685" t="s">
        <v>367</v>
      </c>
      <c r="X685" t="s">
        <v>399</v>
      </c>
      <c r="Y685" t="s">
        <v>396</v>
      </c>
      <c r="Z685" t="s">
        <v>374</v>
      </c>
      <c r="AB685" s="73"/>
      <c r="AQ685" s="73"/>
      <c r="BG685" t="s">
        <v>371</v>
      </c>
      <c r="BH685" t="s">
        <v>371</v>
      </c>
      <c r="BI685" t="s">
        <v>371</v>
      </c>
      <c r="BJ685" t="s">
        <v>371</v>
      </c>
      <c r="BK685" t="s">
        <v>371</v>
      </c>
      <c r="BL685" t="s">
        <v>371</v>
      </c>
      <c r="BM685" t="s">
        <v>371</v>
      </c>
      <c r="BN685" t="s">
        <v>371</v>
      </c>
      <c r="BO685" t="s">
        <v>371</v>
      </c>
      <c r="BQ685" t="s">
        <v>375</v>
      </c>
      <c r="BR685" s="73"/>
      <c r="CX685" s="73"/>
      <c r="EQ685" s="73"/>
      <c r="FT685">
        <v>0</v>
      </c>
      <c r="FZ685" t="s">
        <v>371</v>
      </c>
      <c r="GA685" t="s">
        <v>371</v>
      </c>
      <c r="GB685" t="s">
        <v>371</v>
      </c>
      <c r="GC685" t="s">
        <v>371</v>
      </c>
      <c r="GD685" t="s">
        <v>371</v>
      </c>
      <c r="GF685" t="s">
        <v>371</v>
      </c>
      <c r="GG685" t="s">
        <v>371</v>
      </c>
      <c r="GH685" t="s">
        <v>371</v>
      </c>
      <c r="GI685" t="s">
        <v>371</v>
      </c>
      <c r="GJ685" t="s">
        <v>371</v>
      </c>
      <c r="GK685" t="s">
        <v>371</v>
      </c>
      <c r="GN685" t="s">
        <v>371</v>
      </c>
      <c r="GO685" t="s">
        <v>371</v>
      </c>
      <c r="GP685" t="s">
        <v>371</v>
      </c>
      <c r="GQ685" t="s">
        <v>371</v>
      </c>
      <c r="GR685" t="s">
        <v>371</v>
      </c>
      <c r="GS685" t="s">
        <v>371</v>
      </c>
      <c r="GT685" t="s">
        <v>371</v>
      </c>
      <c r="GU685" t="s">
        <v>371</v>
      </c>
      <c r="GV685" t="s">
        <v>371</v>
      </c>
      <c r="GW685" t="s">
        <v>371</v>
      </c>
      <c r="GX685" t="s">
        <v>371</v>
      </c>
      <c r="HA685" t="s">
        <v>375</v>
      </c>
    </row>
    <row r="686" spans="1:209" ht="14.25" customHeight="1" x14ac:dyDescent="0.25">
      <c r="A686" t="s">
        <v>755</v>
      </c>
      <c r="B686" t="s">
        <v>376</v>
      </c>
      <c r="C686">
        <v>1</v>
      </c>
      <c r="D686" t="s">
        <v>666</v>
      </c>
      <c r="E686" s="73"/>
      <c r="AA686" t="s">
        <v>377</v>
      </c>
      <c r="AB686" s="73">
        <v>46199</v>
      </c>
      <c r="AE686" t="s">
        <v>667</v>
      </c>
      <c r="AF686" t="s">
        <v>379</v>
      </c>
      <c r="AI686" t="s">
        <v>380</v>
      </c>
      <c r="AJ686">
        <v>0</v>
      </c>
      <c r="AK686" t="s">
        <v>372</v>
      </c>
      <c r="AP686" t="s">
        <v>374</v>
      </c>
      <c r="AQ686" s="73"/>
      <c r="BR686" s="73"/>
      <c r="CX686" s="73"/>
      <c r="EQ686" s="73"/>
    </row>
    <row r="687" spans="1:209" ht="14.25" customHeight="1" x14ac:dyDescent="0.25">
      <c r="A687" t="s">
        <v>756</v>
      </c>
      <c r="D687" t="s">
        <v>666</v>
      </c>
      <c r="E687" s="73">
        <v>46199</v>
      </c>
      <c r="H687" t="s">
        <v>368</v>
      </c>
      <c r="I687" t="s">
        <v>368</v>
      </c>
      <c r="J687">
        <v>1985</v>
      </c>
      <c r="K687" t="s">
        <v>561</v>
      </c>
      <c r="L687" t="s">
        <v>370</v>
      </c>
      <c r="M687" t="s">
        <v>371</v>
      </c>
      <c r="N687" t="s">
        <v>371</v>
      </c>
      <c r="O687" t="s">
        <v>371</v>
      </c>
      <c r="P687" t="s">
        <v>371</v>
      </c>
      <c r="Q687" t="s">
        <v>371</v>
      </c>
      <c r="R687" t="s">
        <v>372</v>
      </c>
      <c r="S687" t="s">
        <v>372</v>
      </c>
      <c r="T687" t="s">
        <v>372</v>
      </c>
      <c r="U687" t="s">
        <v>367</v>
      </c>
      <c r="W687" t="s">
        <v>367</v>
      </c>
      <c r="X687" t="s">
        <v>432</v>
      </c>
      <c r="Y687" t="s">
        <v>396</v>
      </c>
      <c r="Z687" t="s">
        <v>374</v>
      </c>
      <c r="AB687" s="73"/>
      <c r="AQ687" s="73"/>
      <c r="BG687" t="s">
        <v>371</v>
      </c>
      <c r="BH687" t="s">
        <v>371</v>
      </c>
      <c r="BI687" t="s">
        <v>371</v>
      </c>
      <c r="BJ687" t="s">
        <v>371</v>
      </c>
      <c r="BK687" t="s">
        <v>371</v>
      </c>
      <c r="BL687" t="s">
        <v>371</v>
      </c>
      <c r="BM687" t="s">
        <v>371</v>
      </c>
      <c r="BN687" t="s">
        <v>371</v>
      </c>
      <c r="BO687" t="s">
        <v>371</v>
      </c>
      <c r="BQ687" t="s">
        <v>375</v>
      </c>
      <c r="BR687" s="73"/>
      <c r="CX687" s="73"/>
      <c r="EQ687" s="73"/>
      <c r="FT687">
        <v>0</v>
      </c>
      <c r="FZ687" t="s">
        <v>371</v>
      </c>
      <c r="GA687" t="s">
        <v>371</v>
      </c>
      <c r="GB687" t="s">
        <v>371</v>
      </c>
      <c r="GC687" t="s">
        <v>371</v>
      </c>
      <c r="GD687" t="s">
        <v>371</v>
      </c>
      <c r="GF687" t="s">
        <v>371</v>
      </c>
      <c r="GG687" t="s">
        <v>371</v>
      </c>
      <c r="GH687" t="s">
        <v>371</v>
      </c>
      <c r="GI687" t="s">
        <v>371</v>
      </c>
      <c r="GJ687" t="s">
        <v>371</v>
      </c>
      <c r="GK687" t="s">
        <v>371</v>
      </c>
      <c r="GN687" t="s">
        <v>371</v>
      </c>
      <c r="GO687" t="s">
        <v>371</v>
      </c>
      <c r="GP687" t="s">
        <v>371</v>
      </c>
      <c r="GQ687" t="s">
        <v>371</v>
      </c>
      <c r="GR687" t="s">
        <v>371</v>
      </c>
      <c r="GS687" t="s">
        <v>371</v>
      </c>
      <c r="GT687" t="s">
        <v>371</v>
      </c>
      <c r="GU687" t="s">
        <v>371</v>
      </c>
      <c r="GV687" t="s">
        <v>371</v>
      </c>
      <c r="GW687" t="s">
        <v>371</v>
      </c>
      <c r="GX687" t="s">
        <v>371</v>
      </c>
      <c r="HA687" t="s">
        <v>375</v>
      </c>
    </row>
    <row r="688" spans="1:209" ht="14.25" customHeight="1" x14ac:dyDescent="0.25">
      <c r="A688" t="s">
        <v>756</v>
      </c>
      <c r="B688" t="s">
        <v>376</v>
      </c>
      <c r="C688">
        <v>1</v>
      </c>
      <c r="D688" t="s">
        <v>666</v>
      </c>
      <c r="E688" s="73"/>
      <c r="AA688" t="s">
        <v>377</v>
      </c>
      <c r="AB688" s="73">
        <v>46199</v>
      </c>
      <c r="AE688" t="s">
        <v>667</v>
      </c>
      <c r="AF688" t="s">
        <v>379</v>
      </c>
      <c r="AI688" t="s">
        <v>380</v>
      </c>
      <c r="AJ688">
        <v>0</v>
      </c>
      <c r="AK688" t="s">
        <v>372</v>
      </c>
      <c r="AP688" t="s">
        <v>374</v>
      </c>
      <c r="AQ688" s="73"/>
      <c r="BR688" s="73"/>
      <c r="CX688" s="73"/>
      <c r="EQ688" s="73"/>
    </row>
    <row r="689" spans="1:209" ht="14.25" customHeight="1" x14ac:dyDescent="0.25">
      <c r="A689" t="s">
        <v>756</v>
      </c>
      <c r="B689" t="s">
        <v>381</v>
      </c>
      <c r="C689">
        <v>1</v>
      </c>
      <c r="D689" t="s">
        <v>666</v>
      </c>
      <c r="E689" s="73"/>
      <c r="AB689" s="73"/>
      <c r="AQ689" s="73">
        <v>46199</v>
      </c>
      <c r="AT689" t="s">
        <v>674</v>
      </c>
      <c r="AU689" t="s">
        <v>384</v>
      </c>
      <c r="AV689" t="s">
        <v>384</v>
      </c>
      <c r="AW689" t="s">
        <v>384</v>
      </c>
      <c r="AX689" t="s">
        <v>404</v>
      </c>
      <c r="AY689" t="s">
        <v>384</v>
      </c>
      <c r="AZ689" t="s">
        <v>404</v>
      </c>
      <c r="BA689" t="s">
        <v>367</v>
      </c>
      <c r="BB689" t="s">
        <v>367</v>
      </c>
      <c r="BC689">
        <v>6</v>
      </c>
      <c r="BD689" t="s">
        <v>374</v>
      </c>
      <c r="BR689" s="73"/>
      <c r="CX689" s="73"/>
      <c r="EQ689" s="73"/>
    </row>
    <row r="690" spans="1:209" ht="14.25" customHeight="1" x14ac:dyDescent="0.25">
      <c r="A690" t="s">
        <v>757</v>
      </c>
      <c r="D690" t="s">
        <v>666</v>
      </c>
      <c r="E690" s="73">
        <v>46199</v>
      </c>
      <c r="H690" t="s">
        <v>368</v>
      </c>
      <c r="I690" t="s">
        <v>368</v>
      </c>
      <c r="J690">
        <v>1987</v>
      </c>
      <c r="K690" t="s">
        <v>561</v>
      </c>
      <c r="L690" t="s">
        <v>370</v>
      </c>
      <c r="M690" t="s">
        <v>371</v>
      </c>
      <c r="N690" t="s">
        <v>371</v>
      </c>
      <c r="O690" t="s">
        <v>371</v>
      </c>
      <c r="P690" t="s">
        <v>371</v>
      </c>
      <c r="Q690" t="s">
        <v>371</v>
      </c>
      <c r="R690" t="s">
        <v>372</v>
      </c>
      <c r="S690" t="s">
        <v>372</v>
      </c>
      <c r="T690" t="s">
        <v>372</v>
      </c>
      <c r="U690" t="s">
        <v>367</v>
      </c>
      <c r="W690" t="s">
        <v>367</v>
      </c>
      <c r="X690" t="s">
        <v>392</v>
      </c>
      <c r="Y690" t="s">
        <v>367</v>
      </c>
      <c r="Z690" t="s">
        <v>374</v>
      </c>
      <c r="AB690" s="73"/>
      <c r="AQ690" s="73"/>
      <c r="BG690" t="s">
        <v>371</v>
      </c>
      <c r="BH690" t="s">
        <v>371</v>
      </c>
      <c r="BI690" t="s">
        <v>371</v>
      </c>
      <c r="BJ690" t="s">
        <v>371</v>
      </c>
      <c r="BK690" t="s">
        <v>371</v>
      </c>
      <c r="BL690" t="s">
        <v>371</v>
      </c>
      <c r="BM690" t="s">
        <v>371</v>
      </c>
      <c r="BN690" t="s">
        <v>371</v>
      </c>
      <c r="BO690" t="s">
        <v>371</v>
      </c>
      <c r="BQ690" t="s">
        <v>375</v>
      </c>
      <c r="BR690" s="73"/>
      <c r="CX690" s="73"/>
      <c r="EQ690" s="73"/>
      <c r="FT690">
        <v>0</v>
      </c>
      <c r="FZ690" t="s">
        <v>371</v>
      </c>
      <c r="GA690" t="s">
        <v>371</v>
      </c>
      <c r="GB690" t="s">
        <v>371</v>
      </c>
      <c r="GC690" t="s">
        <v>371</v>
      </c>
      <c r="GD690" t="s">
        <v>371</v>
      </c>
      <c r="GF690" t="s">
        <v>371</v>
      </c>
      <c r="GG690" t="s">
        <v>371</v>
      </c>
      <c r="GH690" t="s">
        <v>371</v>
      </c>
      <c r="GI690" t="s">
        <v>371</v>
      </c>
      <c r="GJ690" t="s">
        <v>371</v>
      </c>
      <c r="GK690" t="s">
        <v>371</v>
      </c>
      <c r="GN690" t="s">
        <v>371</v>
      </c>
      <c r="GO690" t="s">
        <v>371</v>
      </c>
      <c r="GP690" t="s">
        <v>371</v>
      </c>
      <c r="GQ690" t="s">
        <v>371</v>
      </c>
      <c r="GR690" t="s">
        <v>371</v>
      </c>
      <c r="GS690" t="s">
        <v>371</v>
      </c>
      <c r="GT690" t="s">
        <v>371</v>
      </c>
      <c r="GU690" t="s">
        <v>371</v>
      </c>
      <c r="GV690" t="s">
        <v>371</v>
      </c>
      <c r="GW690" t="s">
        <v>371</v>
      </c>
      <c r="GX690" t="s">
        <v>371</v>
      </c>
      <c r="HA690" t="s">
        <v>375</v>
      </c>
    </row>
    <row r="691" spans="1:209" ht="14.25" customHeight="1" x14ac:dyDescent="0.25">
      <c r="A691" t="s">
        <v>757</v>
      </c>
      <c r="B691" t="s">
        <v>376</v>
      </c>
      <c r="C691">
        <v>1</v>
      </c>
      <c r="D691" t="s">
        <v>666</v>
      </c>
      <c r="E691" s="73"/>
      <c r="AA691" t="s">
        <v>377</v>
      </c>
      <c r="AB691" s="73">
        <v>46199</v>
      </c>
      <c r="AE691" t="s">
        <v>667</v>
      </c>
      <c r="AF691" t="s">
        <v>379</v>
      </c>
      <c r="AI691" t="s">
        <v>380</v>
      </c>
      <c r="AJ691">
        <v>0</v>
      </c>
      <c r="AK691" t="s">
        <v>372</v>
      </c>
      <c r="AP691" t="s">
        <v>374</v>
      </c>
      <c r="AQ691" s="73"/>
      <c r="BR691" s="73"/>
      <c r="CX691" s="73"/>
      <c r="EQ691" s="73"/>
    </row>
    <row r="692" spans="1:209" ht="14.25" customHeight="1" x14ac:dyDescent="0.25">
      <c r="A692" t="s">
        <v>758</v>
      </c>
      <c r="D692" t="s">
        <v>666</v>
      </c>
      <c r="E692" s="73">
        <v>46199</v>
      </c>
      <c r="H692" t="s">
        <v>368</v>
      </c>
      <c r="I692" t="s">
        <v>368</v>
      </c>
      <c r="J692">
        <v>1992</v>
      </c>
      <c r="K692" t="s">
        <v>561</v>
      </c>
      <c r="L692" t="s">
        <v>370</v>
      </c>
      <c r="M692" t="s">
        <v>371</v>
      </c>
      <c r="N692" t="s">
        <v>371</v>
      </c>
      <c r="O692" t="s">
        <v>371</v>
      </c>
      <c r="P692" t="s">
        <v>371</v>
      </c>
      <c r="Q692" t="s">
        <v>371</v>
      </c>
      <c r="R692" t="s">
        <v>372</v>
      </c>
      <c r="S692" t="s">
        <v>372</v>
      </c>
      <c r="T692" t="s">
        <v>367</v>
      </c>
      <c r="U692" t="s">
        <v>367</v>
      </c>
      <c r="W692" t="s">
        <v>367</v>
      </c>
      <c r="X692" t="s">
        <v>432</v>
      </c>
      <c r="Y692" t="s">
        <v>396</v>
      </c>
      <c r="Z692" t="s">
        <v>374</v>
      </c>
      <c r="AB692" s="73"/>
      <c r="AQ692" s="73"/>
      <c r="BG692" t="s">
        <v>371</v>
      </c>
      <c r="BH692" t="s">
        <v>371</v>
      </c>
      <c r="BI692" t="s">
        <v>371</v>
      </c>
      <c r="BJ692" t="s">
        <v>371</v>
      </c>
      <c r="BK692" t="s">
        <v>371</v>
      </c>
      <c r="BL692" t="s">
        <v>371</v>
      </c>
      <c r="BM692" t="s">
        <v>371</v>
      </c>
      <c r="BN692" t="s">
        <v>371</v>
      </c>
      <c r="BO692" t="s">
        <v>371</v>
      </c>
      <c r="BQ692" t="s">
        <v>375</v>
      </c>
      <c r="BR692" s="73"/>
      <c r="CX692" s="73"/>
      <c r="EQ692" s="73"/>
      <c r="FT692">
        <v>0</v>
      </c>
      <c r="FZ692" t="s">
        <v>371</v>
      </c>
      <c r="GA692" t="s">
        <v>371</v>
      </c>
      <c r="GB692" t="s">
        <v>371</v>
      </c>
      <c r="GC692" t="s">
        <v>371</v>
      </c>
      <c r="GD692" t="s">
        <v>371</v>
      </c>
      <c r="GF692" t="s">
        <v>371</v>
      </c>
      <c r="GG692" t="s">
        <v>371</v>
      </c>
      <c r="GH692" t="s">
        <v>371</v>
      </c>
      <c r="GI692" t="s">
        <v>371</v>
      </c>
      <c r="GJ692" t="s">
        <v>371</v>
      </c>
      <c r="GK692" t="s">
        <v>371</v>
      </c>
      <c r="GN692" t="s">
        <v>371</v>
      </c>
      <c r="GO692" t="s">
        <v>371</v>
      </c>
      <c r="GP692" t="s">
        <v>371</v>
      </c>
      <c r="GQ692" t="s">
        <v>371</v>
      </c>
      <c r="GR692" t="s">
        <v>371</v>
      </c>
      <c r="GS692" t="s">
        <v>371</v>
      </c>
      <c r="GT692" t="s">
        <v>371</v>
      </c>
      <c r="GU692" t="s">
        <v>371</v>
      </c>
      <c r="GV692" t="s">
        <v>371</v>
      </c>
      <c r="GW692" t="s">
        <v>371</v>
      </c>
      <c r="GX692" t="s">
        <v>371</v>
      </c>
      <c r="HA692" t="s">
        <v>375</v>
      </c>
    </row>
    <row r="693" spans="1:209" ht="14.25" customHeight="1" x14ac:dyDescent="0.25">
      <c r="A693" t="s">
        <v>758</v>
      </c>
      <c r="B693" t="s">
        <v>376</v>
      </c>
      <c r="C693">
        <v>1</v>
      </c>
      <c r="D693" t="s">
        <v>666</v>
      </c>
      <c r="E693" s="73"/>
      <c r="AA693" t="s">
        <v>377</v>
      </c>
      <c r="AB693" s="73">
        <v>46199</v>
      </c>
      <c r="AE693" t="s">
        <v>684</v>
      </c>
      <c r="AF693" t="s">
        <v>379</v>
      </c>
      <c r="AI693" t="s">
        <v>380</v>
      </c>
      <c r="AJ693">
        <v>1</v>
      </c>
      <c r="AK693" t="s">
        <v>372</v>
      </c>
      <c r="AP693" t="s">
        <v>374</v>
      </c>
      <c r="AQ693" s="73"/>
      <c r="BR693" s="73"/>
      <c r="CX693" s="73"/>
      <c r="EQ693" s="73"/>
    </row>
    <row r="694" spans="1:209" ht="14.25" customHeight="1" x14ac:dyDescent="0.25">
      <c r="A694" t="s">
        <v>758</v>
      </c>
      <c r="B694" t="s">
        <v>381</v>
      </c>
      <c r="C694">
        <v>1</v>
      </c>
      <c r="D694" t="s">
        <v>666</v>
      </c>
      <c r="E694" s="73"/>
      <c r="AB694" s="73"/>
      <c r="AQ694" s="73">
        <v>46199</v>
      </c>
      <c r="AT694" t="s">
        <v>674</v>
      </c>
      <c r="AU694" t="s">
        <v>385</v>
      </c>
      <c r="AV694" t="s">
        <v>384</v>
      </c>
      <c r="AW694" t="s">
        <v>383</v>
      </c>
      <c r="AX694" t="s">
        <v>404</v>
      </c>
      <c r="AY694" t="s">
        <v>384</v>
      </c>
      <c r="AZ694" t="s">
        <v>385</v>
      </c>
      <c r="BA694" t="s">
        <v>367</v>
      </c>
      <c r="BB694" t="s">
        <v>367</v>
      </c>
      <c r="BC694">
        <v>8</v>
      </c>
      <c r="BD694" t="s">
        <v>374</v>
      </c>
      <c r="BR694" s="73"/>
      <c r="CX694" s="73"/>
      <c r="EQ694" s="73"/>
    </row>
    <row r="695" spans="1:209" ht="14.25" customHeight="1" x14ac:dyDescent="0.25">
      <c r="A695" t="s">
        <v>759</v>
      </c>
      <c r="D695" t="s">
        <v>666</v>
      </c>
      <c r="E695" s="73">
        <v>46199</v>
      </c>
      <c r="H695" t="s">
        <v>403</v>
      </c>
      <c r="I695" t="s">
        <v>403</v>
      </c>
      <c r="J695">
        <v>1990</v>
      </c>
      <c r="K695" t="s">
        <v>448</v>
      </c>
      <c r="L695" t="s">
        <v>370</v>
      </c>
      <c r="M695" t="s">
        <v>371</v>
      </c>
      <c r="N695" t="s">
        <v>371</v>
      </c>
      <c r="O695" t="s">
        <v>371</v>
      </c>
      <c r="P695" t="s">
        <v>371</v>
      </c>
      <c r="Q695" t="s">
        <v>371</v>
      </c>
      <c r="R695" t="s">
        <v>372</v>
      </c>
      <c r="S695" t="s">
        <v>372</v>
      </c>
      <c r="T695" t="s">
        <v>372</v>
      </c>
      <c r="U695" t="s">
        <v>367</v>
      </c>
      <c r="W695" t="s">
        <v>367</v>
      </c>
      <c r="X695" t="s">
        <v>432</v>
      </c>
      <c r="Y695" t="s">
        <v>367</v>
      </c>
      <c r="Z695" t="s">
        <v>374</v>
      </c>
      <c r="AB695" s="73"/>
      <c r="AQ695" s="73"/>
      <c r="BG695" t="s">
        <v>371</v>
      </c>
      <c r="BH695" t="s">
        <v>371</v>
      </c>
      <c r="BI695" t="s">
        <v>371</v>
      </c>
      <c r="BJ695" t="s">
        <v>371</v>
      </c>
      <c r="BK695" t="s">
        <v>371</v>
      </c>
      <c r="BL695" t="s">
        <v>371</v>
      </c>
      <c r="BM695" t="s">
        <v>371</v>
      </c>
      <c r="BN695" t="s">
        <v>371</v>
      </c>
      <c r="BO695" t="s">
        <v>371</v>
      </c>
      <c r="BQ695" t="s">
        <v>375</v>
      </c>
      <c r="BR695" s="73"/>
      <c r="CX695" s="73"/>
      <c r="EQ695" s="73"/>
      <c r="FT695">
        <v>0</v>
      </c>
      <c r="FZ695" t="s">
        <v>371</v>
      </c>
      <c r="GA695" t="s">
        <v>371</v>
      </c>
      <c r="GB695" t="s">
        <v>371</v>
      </c>
      <c r="GC695" t="s">
        <v>371</v>
      </c>
      <c r="GD695" t="s">
        <v>371</v>
      </c>
      <c r="GF695" t="s">
        <v>371</v>
      </c>
      <c r="GG695" t="s">
        <v>371</v>
      </c>
      <c r="GH695" t="s">
        <v>371</v>
      </c>
      <c r="GI695" t="s">
        <v>371</v>
      </c>
      <c r="GJ695" t="s">
        <v>371</v>
      </c>
      <c r="GK695" t="s">
        <v>371</v>
      </c>
      <c r="GN695" t="s">
        <v>371</v>
      </c>
      <c r="GO695" t="s">
        <v>371</v>
      </c>
      <c r="GP695" t="s">
        <v>371</v>
      </c>
      <c r="GQ695" t="s">
        <v>371</v>
      </c>
      <c r="GR695" t="s">
        <v>371</v>
      </c>
      <c r="GS695" t="s">
        <v>371</v>
      </c>
      <c r="GT695" t="s">
        <v>371</v>
      </c>
      <c r="GU695" t="s">
        <v>371</v>
      </c>
      <c r="GV695" t="s">
        <v>371</v>
      </c>
      <c r="GW695" t="s">
        <v>371</v>
      </c>
      <c r="GX695" t="s">
        <v>371</v>
      </c>
      <c r="HA695" t="s">
        <v>375</v>
      </c>
    </row>
    <row r="696" spans="1:209" ht="14.25" customHeight="1" x14ac:dyDescent="0.25">
      <c r="A696" t="s">
        <v>759</v>
      </c>
      <c r="B696" t="s">
        <v>376</v>
      </c>
      <c r="C696">
        <v>1</v>
      </c>
      <c r="D696" t="s">
        <v>666</v>
      </c>
      <c r="E696" s="73"/>
      <c r="AA696" t="s">
        <v>377</v>
      </c>
      <c r="AB696" s="73">
        <v>46199</v>
      </c>
      <c r="AE696" t="s">
        <v>684</v>
      </c>
      <c r="AF696" t="s">
        <v>379</v>
      </c>
      <c r="AI696" t="s">
        <v>380</v>
      </c>
      <c r="AJ696">
        <v>1</v>
      </c>
      <c r="AK696" t="s">
        <v>372</v>
      </c>
      <c r="AP696" t="s">
        <v>374</v>
      </c>
      <c r="AQ696" s="73"/>
      <c r="BR696" s="73"/>
      <c r="CX696" s="73"/>
      <c r="EQ696" s="73"/>
    </row>
    <row r="697" spans="1:209" ht="14.25" customHeight="1" x14ac:dyDescent="0.25">
      <c r="A697" t="s">
        <v>759</v>
      </c>
      <c r="B697" t="s">
        <v>381</v>
      </c>
      <c r="C697">
        <v>1</v>
      </c>
      <c r="D697" t="s">
        <v>666</v>
      </c>
      <c r="E697" s="73"/>
      <c r="AB697" s="73"/>
      <c r="AQ697" s="73">
        <v>46199</v>
      </c>
      <c r="AT697" t="s">
        <v>680</v>
      </c>
      <c r="AU697" t="s">
        <v>383</v>
      </c>
      <c r="AV697" t="s">
        <v>383</v>
      </c>
      <c r="AW697" t="s">
        <v>384</v>
      </c>
      <c r="AX697" t="s">
        <v>383</v>
      </c>
      <c r="AY697" t="s">
        <v>384</v>
      </c>
      <c r="AZ697" t="s">
        <v>385</v>
      </c>
      <c r="BA697" t="s">
        <v>367</v>
      </c>
      <c r="BB697" t="s">
        <v>367</v>
      </c>
      <c r="BC697">
        <v>5</v>
      </c>
      <c r="BD697" t="s">
        <v>374</v>
      </c>
      <c r="BR697" s="73"/>
      <c r="CX697" s="73"/>
      <c r="EQ697" s="73"/>
    </row>
    <row r="698" spans="1:209" ht="14.25" customHeight="1" x14ac:dyDescent="0.25">
      <c r="A698" t="s">
        <v>760</v>
      </c>
      <c r="D698" t="s">
        <v>666</v>
      </c>
      <c r="E698" s="73">
        <v>46199</v>
      </c>
      <c r="H698" t="s">
        <v>403</v>
      </c>
      <c r="I698" t="s">
        <v>403</v>
      </c>
      <c r="J698">
        <v>1986</v>
      </c>
      <c r="K698" t="s">
        <v>448</v>
      </c>
      <c r="L698" t="s">
        <v>370</v>
      </c>
      <c r="M698" t="s">
        <v>371</v>
      </c>
      <c r="N698" t="s">
        <v>371</v>
      </c>
      <c r="O698" t="s">
        <v>371</v>
      </c>
      <c r="P698" t="s">
        <v>371</v>
      </c>
      <c r="Q698" t="s">
        <v>371</v>
      </c>
      <c r="R698" t="s">
        <v>372</v>
      </c>
      <c r="S698" t="s">
        <v>372</v>
      </c>
      <c r="T698" t="s">
        <v>372</v>
      </c>
      <c r="U698" t="s">
        <v>367</v>
      </c>
      <c r="W698" t="s">
        <v>367</v>
      </c>
      <c r="X698" t="s">
        <v>392</v>
      </c>
      <c r="Y698" t="s">
        <v>396</v>
      </c>
      <c r="Z698" t="s">
        <v>374</v>
      </c>
      <c r="AB698" s="73"/>
      <c r="AQ698" s="73"/>
      <c r="BG698" t="s">
        <v>371</v>
      </c>
      <c r="BH698" t="s">
        <v>371</v>
      </c>
      <c r="BI698" t="s">
        <v>371</v>
      </c>
      <c r="BJ698" t="s">
        <v>371</v>
      </c>
      <c r="BK698" t="s">
        <v>371</v>
      </c>
      <c r="BL698" t="s">
        <v>371</v>
      </c>
      <c r="BM698" t="s">
        <v>371</v>
      </c>
      <c r="BN698" t="s">
        <v>371</v>
      </c>
      <c r="BO698" t="s">
        <v>371</v>
      </c>
      <c r="BQ698" t="s">
        <v>375</v>
      </c>
      <c r="BR698" s="73"/>
      <c r="CX698" s="73"/>
      <c r="EQ698" s="73"/>
      <c r="FT698">
        <v>0</v>
      </c>
      <c r="FZ698" t="s">
        <v>371</v>
      </c>
      <c r="GA698" t="s">
        <v>371</v>
      </c>
      <c r="GB698" t="s">
        <v>371</v>
      </c>
      <c r="GC698" t="s">
        <v>371</v>
      </c>
      <c r="GD698" t="s">
        <v>371</v>
      </c>
      <c r="GF698" t="s">
        <v>371</v>
      </c>
      <c r="GG698" t="s">
        <v>371</v>
      </c>
      <c r="GH698" t="s">
        <v>371</v>
      </c>
      <c r="GI698" t="s">
        <v>371</v>
      </c>
      <c r="GJ698" t="s">
        <v>371</v>
      </c>
      <c r="GK698" t="s">
        <v>371</v>
      </c>
      <c r="GN698" t="s">
        <v>371</v>
      </c>
      <c r="GO698" t="s">
        <v>371</v>
      </c>
      <c r="GP698" t="s">
        <v>371</v>
      </c>
      <c r="GQ698" t="s">
        <v>371</v>
      </c>
      <c r="GR698" t="s">
        <v>371</v>
      </c>
      <c r="GS698" t="s">
        <v>371</v>
      </c>
      <c r="GT698" t="s">
        <v>371</v>
      </c>
      <c r="GU698" t="s">
        <v>371</v>
      </c>
      <c r="GV698" t="s">
        <v>371</v>
      </c>
      <c r="GW698" t="s">
        <v>371</v>
      </c>
      <c r="GX698" t="s">
        <v>371</v>
      </c>
      <c r="HA698" t="s">
        <v>375</v>
      </c>
    </row>
    <row r="699" spans="1:209" ht="14.25" customHeight="1" x14ac:dyDescent="0.25">
      <c r="A699" t="s">
        <v>760</v>
      </c>
      <c r="B699" t="s">
        <v>376</v>
      </c>
      <c r="C699">
        <v>1</v>
      </c>
      <c r="D699" t="s">
        <v>666</v>
      </c>
      <c r="E699" s="73"/>
      <c r="AA699" t="s">
        <v>377</v>
      </c>
      <c r="AB699" s="73">
        <v>46199</v>
      </c>
      <c r="AE699" t="s">
        <v>684</v>
      </c>
      <c r="AF699" t="s">
        <v>379</v>
      </c>
      <c r="AI699" t="s">
        <v>380</v>
      </c>
      <c r="AJ699">
        <v>1</v>
      </c>
      <c r="AK699" t="s">
        <v>372</v>
      </c>
      <c r="AP699" t="s">
        <v>374</v>
      </c>
      <c r="AQ699" s="73"/>
      <c r="BR699" s="73"/>
      <c r="CX699" s="73"/>
      <c r="EQ699" s="73"/>
    </row>
    <row r="700" spans="1:209" ht="14.25" customHeight="1" x14ac:dyDescent="0.25">
      <c r="A700" t="s">
        <v>760</v>
      </c>
      <c r="B700" t="s">
        <v>381</v>
      </c>
      <c r="C700">
        <v>1</v>
      </c>
      <c r="D700" t="s">
        <v>666</v>
      </c>
      <c r="E700" s="73"/>
      <c r="AB700" s="73"/>
      <c r="AQ700" s="73">
        <v>46199</v>
      </c>
      <c r="AT700" t="s">
        <v>670</v>
      </c>
      <c r="AU700" t="s">
        <v>385</v>
      </c>
      <c r="AV700" t="s">
        <v>383</v>
      </c>
      <c r="AW700" t="s">
        <v>384</v>
      </c>
      <c r="AX700" t="s">
        <v>385</v>
      </c>
      <c r="AY700" t="s">
        <v>384</v>
      </c>
      <c r="AZ700" t="s">
        <v>385</v>
      </c>
      <c r="BA700" t="s">
        <v>367</v>
      </c>
      <c r="BB700" t="s">
        <v>367</v>
      </c>
      <c r="BC700">
        <v>7</v>
      </c>
      <c r="BD700" t="s">
        <v>374</v>
      </c>
      <c r="BR700" s="73"/>
      <c r="CX700" s="73"/>
      <c r="EQ700" s="73"/>
    </row>
    <row r="701" spans="1:209" ht="14.25" customHeight="1" x14ac:dyDescent="0.25">
      <c r="A701" t="s">
        <v>761</v>
      </c>
      <c r="D701" t="s">
        <v>666</v>
      </c>
      <c r="E701" s="73">
        <v>46199</v>
      </c>
      <c r="H701" t="s">
        <v>368</v>
      </c>
      <c r="I701" t="s">
        <v>368</v>
      </c>
      <c r="J701">
        <v>2005</v>
      </c>
      <c r="K701" t="s">
        <v>561</v>
      </c>
      <c r="L701" t="s">
        <v>370</v>
      </c>
      <c r="M701" t="s">
        <v>371</v>
      </c>
      <c r="N701" t="s">
        <v>371</v>
      </c>
      <c r="O701" t="s">
        <v>371</v>
      </c>
      <c r="P701" t="s">
        <v>371</v>
      </c>
      <c r="Q701" t="s">
        <v>371</v>
      </c>
      <c r="R701" t="s">
        <v>372</v>
      </c>
      <c r="S701" t="s">
        <v>372</v>
      </c>
      <c r="T701" t="s">
        <v>367</v>
      </c>
      <c r="U701" t="s">
        <v>367</v>
      </c>
      <c r="W701" t="s">
        <v>367</v>
      </c>
      <c r="X701" t="s">
        <v>373</v>
      </c>
      <c r="Y701" t="s">
        <v>367</v>
      </c>
      <c r="Z701" t="s">
        <v>374</v>
      </c>
      <c r="AB701" s="73"/>
      <c r="AQ701" s="73"/>
      <c r="BG701" t="s">
        <v>371</v>
      </c>
      <c r="BH701" t="s">
        <v>371</v>
      </c>
      <c r="BI701" t="s">
        <v>371</v>
      </c>
      <c r="BJ701" t="s">
        <v>371</v>
      </c>
      <c r="BK701" t="s">
        <v>371</v>
      </c>
      <c r="BL701" t="s">
        <v>371</v>
      </c>
      <c r="BM701" t="s">
        <v>371</v>
      </c>
      <c r="BN701" t="s">
        <v>371</v>
      </c>
      <c r="BO701" t="s">
        <v>371</v>
      </c>
      <c r="BQ701" t="s">
        <v>375</v>
      </c>
      <c r="BR701" s="73"/>
      <c r="CX701" s="73"/>
      <c r="EQ701" s="73"/>
      <c r="FT701">
        <v>0</v>
      </c>
      <c r="FZ701" t="s">
        <v>371</v>
      </c>
      <c r="GA701" t="s">
        <v>371</v>
      </c>
      <c r="GB701" t="s">
        <v>371</v>
      </c>
      <c r="GC701" t="s">
        <v>371</v>
      </c>
      <c r="GD701" t="s">
        <v>371</v>
      </c>
      <c r="GF701" t="s">
        <v>371</v>
      </c>
      <c r="GG701" t="s">
        <v>371</v>
      </c>
      <c r="GH701" t="s">
        <v>371</v>
      </c>
      <c r="GI701" t="s">
        <v>371</v>
      </c>
      <c r="GJ701" t="s">
        <v>371</v>
      </c>
      <c r="GK701" t="s">
        <v>371</v>
      </c>
      <c r="GN701" t="s">
        <v>371</v>
      </c>
      <c r="GO701" t="s">
        <v>371</v>
      </c>
      <c r="GP701" t="s">
        <v>371</v>
      </c>
      <c r="GQ701" t="s">
        <v>371</v>
      </c>
      <c r="GR701" t="s">
        <v>371</v>
      </c>
      <c r="GS701" t="s">
        <v>371</v>
      </c>
      <c r="GT701" t="s">
        <v>371</v>
      </c>
      <c r="GU701" t="s">
        <v>371</v>
      </c>
      <c r="GV701" t="s">
        <v>371</v>
      </c>
      <c r="GW701" t="s">
        <v>371</v>
      </c>
      <c r="GX701" t="s">
        <v>371</v>
      </c>
      <c r="HA701" t="s">
        <v>375</v>
      </c>
    </row>
    <row r="702" spans="1:209" ht="14.25" customHeight="1" x14ac:dyDescent="0.25">
      <c r="A702" t="s">
        <v>761</v>
      </c>
      <c r="B702" t="s">
        <v>376</v>
      </c>
      <c r="C702">
        <v>1</v>
      </c>
      <c r="D702" t="s">
        <v>666</v>
      </c>
      <c r="E702" s="73"/>
      <c r="AA702" t="s">
        <v>377</v>
      </c>
      <c r="AB702" s="73">
        <v>46199</v>
      </c>
      <c r="AE702" t="s">
        <v>684</v>
      </c>
      <c r="AF702" t="s">
        <v>379</v>
      </c>
      <c r="AI702" t="s">
        <v>380</v>
      </c>
      <c r="AJ702">
        <v>1</v>
      </c>
      <c r="AK702" t="s">
        <v>372</v>
      </c>
      <c r="AP702" t="s">
        <v>374</v>
      </c>
      <c r="AQ702" s="73"/>
      <c r="BR702" s="73"/>
      <c r="CX702" s="73"/>
      <c r="EQ702" s="73"/>
    </row>
    <row r="703" spans="1:209" ht="14.25" customHeight="1" x14ac:dyDescent="0.25">
      <c r="A703" t="s">
        <v>761</v>
      </c>
      <c r="B703" t="s">
        <v>381</v>
      </c>
      <c r="C703">
        <v>1</v>
      </c>
      <c r="D703" t="s">
        <v>666</v>
      </c>
      <c r="E703" s="73"/>
      <c r="AB703" s="73"/>
      <c r="AQ703" s="73">
        <v>46199</v>
      </c>
      <c r="AT703" t="s">
        <v>670</v>
      </c>
      <c r="AU703" t="s">
        <v>384</v>
      </c>
      <c r="AV703" t="s">
        <v>384</v>
      </c>
      <c r="AW703" t="s">
        <v>384</v>
      </c>
      <c r="AX703" t="s">
        <v>404</v>
      </c>
      <c r="AY703" t="s">
        <v>384</v>
      </c>
      <c r="AZ703" t="s">
        <v>385</v>
      </c>
      <c r="BA703" t="s">
        <v>367</v>
      </c>
      <c r="BB703" t="s">
        <v>367</v>
      </c>
      <c r="BC703">
        <v>5</v>
      </c>
      <c r="BD703" t="s">
        <v>374</v>
      </c>
      <c r="BR703" s="73"/>
      <c r="CX703" s="73"/>
      <c r="EQ703" s="73"/>
    </row>
    <row r="704" spans="1:209" ht="14.25" customHeight="1" x14ac:dyDescent="0.25">
      <c r="A704" t="s">
        <v>762</v>
      </c>
      <c r="D704" t="s">
        <v>666</v>
      </c>
      <c r="E704" s="73">
        <v>46199</v>
      </c>
      <c r="H704" t="s">
        <v>403</v>
      </c>
      <c r="I704" t="s">
        <v>403</v>
      </c>
      <c r="J704">
        <v>2003</v>
      </c>
      <c r="K704" t="s">
        <v>448</v>
      </c>
      <c r="L704" t="s">
        <v>370</v>
      </c>
      <c r="M704" t="s">
        <v>371</v>
      </c>
      <c r="N704" t="s">
        <v>371</v>
      </c>
      <c r="O704" t="s">
        <v>371</v>
      </c>
      <c r="P704" t="s">
        <v>371</v>
      </c>
      <c r="Q704" t="s">
        <v>371</v>
      </c>
      <c r="R704" t="s">
        <v>372</v>
      </c>
      <c r="S704" t="s">
        <v>372</v>
      </c>
      <c r="T704" t="s">
        <v>367</v>
      </c>
      <c r="U704" t="s">
        <v>367</v>
      </c>
      <c r="W704" t="s">
        <v>367</v>
      </c>
      <c r="X704" t="s">
        <v>373</v>
      </c>
      <c r="Y704" t="s">
        <v>367</v>
      </c>
      <c r="Z704" t="s">
        <v>374</v>
      </c>
      <c r="AB704" s="73"/>
      <c r="AQ704" s="73"/>
      <c r="BG704" t="s">
        <v>371</v>
      </c>
      <c r="BH704" t="s">
        <v>371</v>
      </c>
      <c r="BI704" t="s">
        <v>371</v>
      </c>
      <c r="BJ704" t="s">
        <v>371</v>
      </c>
      <c r="BK704" t="s">
        <v>371</v>
      </c>
      <c r="BL704" t="s">
        <v>371</v>
      </c>
      <c r="BM704" t="s">
        <v>371</v>
      </c>
      <c r="BN704" t="s">
        <v>371</v>
      </c>
      <c r="BO704" t="s">
        <v>371</v>
      </c>
      <c r="BQ704" t="s">
        <v>375</v>
      </c>
      <c r="BR704" s="73"/>
      <c r="CX704" s="73"/>
      <c r="EQ704" s="73"/>
      <c r="FT704">
        <v>0</v>
      </c>
      <c r="FZ704" t="s">
        <v>371</v>
      </c>
      <c r="GA704" t="s">
        <v>371</v>
      </c>
      <c r="GB704" t="s">
        <v>371</v>
      </c>
      <c r="GC704" t="s">
        <v>371</v>
      </c>
      <c r="GD704" t="s">
        <v>371</v>
      </c>
      <c r="GF704" t="s">
        <v>371</v>
      </c>
      <c r="GG704" t="s">
        <v>371</v>
      </c>
      <c r="GH704" t="s">
        <v>371</v>
      </c>
      <c r="GI704" t="s">
        <v>371</v>
      </c>
      <c r="GJ704" t="s">
        <v>371</v>
      </c>
      <c r="GK704" t="s">
        <v>371</v>
      </c>
      <c r="GN704" t="s">
        <v>371</v>
      </c>
      <c r="GO704" t="s">
        <v>371</v>
      </c>
      <c r="GP704" t="s">
        <v>371</v>
      </c>
      <c r="GQ704" t="s">
        <v>371</v>
      </c>
      <c r="GR704" t="s">
        <v>371</v>
      </c>
      <c r="GS704" t="s">
        <v>371</v>
      </c>
      <c r="GT704" t="s">
        <v>371</v>
      </c>
      <c r="GU704" t="s">
        <v>371</v>
      </c>
      <c r="GV704" t="s">
        <v>371</v>
      </c>
      <c r="GW704" t="s">
        <v>371</v>
      </c>
      <c r="GX704" t="s">
        <v>371</v>
      </c>
      <c r="HA704" t="s">
        <v>375</v>
      </c>
    </row>
    <row r="705" spans="1:209" ht="14.25" customHeight="1" x14ac:dyDescent="0.25">
      <c r="A705" t="s">
        <v>762</v>
      </c>
      <c r="B705" t="s">
        <v>376</v>
      </c>
      <c r="C705">
        <v>1</v>
      </c>
      <c r="D705" t="s">
        <v>666</v>
      </c>
      <c r="E705" s="73"/>
      <c r="AA705" t="s">
        <v>377</v>
      </c>
      <c r="AB705" s="73">
        <v>46199</v>
      </c>
      <c r="AE705" t="s">
        <v>684</v>
      </c>
      <c r="AF705" t="s">
        <v>379</v>
      </c>
      <c r="AI705" t="s">
        <v>380</v>
      </c>
      <c r="AJ705">
        <v>1</v>
      </c>
      <c r="AK705" t="s">
        <v>372</v>
      </c>
      <c r="AP705" t="s">
        <v>374</v>
      </c>
      <c r="AQ705" s="73"/>
      <c r="BR705" s="73"/>
      <c r="CX705" s="73"/>
      <c r="EQ705" s="73"/>
    </row>
    <row r="706" spans="1:209" ht="14.25" customHeight="1" x14ac:dyDescent="0.25">
      <c r="A706" t="s">
        <v>762</v>
      </c>
      <c r="B706" t="s">
        <v>381</v>
      </c>
      <c r="C706">
        <v>1</v>
      </c>
      <c r="D706" t="s">
        <v>666</v>
      </c>
      <c r="E706" s="73"/>
      <c r="AB706" s="73"/>
      <c r="AQ706" s="73">
        <v>46199</v>
      </c>
      <c r="AT706" t="s">
        <v>667</v>
      </c>
      <c r="AU706" t="s">
        <v>383</v>
      </c>
      <c r="AV706" t="s">
        <v>383</v>
      </c>
      <c r="AW706" t="s">
        <v>384</v>
      </c>
      <c r="AX706" t="s">
        <v>383</v>
      </c>
      <c r="AY706" t="s">
        <v>384</v>
      </c>
      <c r="AZ706" t="s">
        <v>383</v>
      </c>
      <c r="BA706" t="s">
        <v>367</v>
      </c>
      <c r="BB706" t="s">
        <v>367</v>
      </c>
      <c r="BC706">
        <v>4</v>
      </c>
      <c r="BD706" t="s">
        <v>374</v>
      </c>
      <c r="BR706" s="73"/>
      <c r="CX706" s="73"/>
      <c r="EQ706" s="73"/>
    </row>
    <row r="707" spans="1:209" ht="14.25" customHeight="1" x14ac:dyDescent="0.25">
      <c r="A707" t="s">
        <v>763</v>
      </c>
      <c r="D707" t="s">
        <v>666</v>
      </c>
      <c r="E707" s="73">
        <v>46200</v>
      </c>
      <c r="H707" t="s">
        <v>403</v>
      </c>
      <c r="I707" t="s">
        <v>403</v>
      </c>
      <c r="J707">
        <v>1997</v>
      </c>
      <c r="K707" t="s">
        <v>448</v>
      </c>
      <c r="L707" t="s">
        <v>370</v>
      </c>
      <c r="M707" t="s">
        <v>371</v>
      </c>
      <c r="N707" t="s">
        <v>371</v>
      </c>
      <c r="O707" t="s">
        <v>371</v>
      </c>
      <c r="P707" t="s">
        <v>371</v>
      </c>
      <c r="Q707" t="s">
        <v>371</v>
      </c>
      <c r="R707" t="s">
        <v>372</v>
      </c>
      <c r="S707" t="s">
        <v>372</v>
      </c>
      <c r="T707" t="s">
        <v>372</v>
      </c>
      <c r="U707" t="s">
        <v>367</v>
      </c>
      <c r="W707" t="s">
        <v>367</v>
      </c>
      <c r="X707" t="s">
        <v>373</v>
      </c>
      <c r="Y707" t="s">
        <v>367</v>
      </c>
      <c r="Z707" t="s">
        <v>374</v>
      </c>
      <c r="AB707" s="73"/>
      <c r="AQ707" s="73"/>
      <c r="BG707" t="s">
        <v>371</v>
      </c>
      <c r="BH707" t="s">
        <v>371</v>
      </c>
      <c r="BI707" t="s">
        <v>371</v>
      </c>
      <c r="BJ707" t="s">
        <v>371</v>
      </c>
      <c r="BK707" t="s">
        <v>371</v>
      </c>
      <c r="BL707" t="s">
        <v>371</v>
      </c>
      <c r="BM707" t="s">
        <v>371</v>
      </c>
      <c r="BN707" t="s">
        <v>371</v>
      </c>
      <c r="BO707" t="s">
        <v>371</v>
      </c>
      <c r="BQ707" t="s">
        <v>375</v>
      </c>
      <c r="BR707" s="73"/>
      <c r="CX707" s="73"/>
      <c r="EQ707" s="73"/>
      <c r="FT707">
        <v>0</v>
      </c>
      <c r="FZ707" t="s">
        <v>371</v>
      </c>
      <c r="GA707" t="s">
        <v>371</v>
      </c>
      <c r="GB707" t="s">
        <v>371</v>
      </c>
      <c r="GC707" t="s">
        <v>371</v>
      </c>
      <c r="GD707" t="s">
        <v>371</v>
      </c>
      <c r="GF707" t="s">
        <v>371</v>
      </c>
      <c r="GG707" t="s">
        <v>371</v>
      </c>
      <c r="GH707" t="s">
        <v>371</v>
      </c>
      <c r="GI707" t="s">
        <v>371</v>
      </c>
      <c r="GJ707" t="s">
        <v>371</v>
      </c>
      <c r="GK707" t="s">
        <v>371</v>
      </c>
      <c r="GN707" t="s">
        <v>371</v>
      </c>
      <c r="GO707" t="s">
        <v>371</v>
      </c>
      <c r="GP707" t="s">
        <v>371</v>
      </c>
      <c r="GQ707" t="s">
        <v>371</v>
      </c>
      <c r="GR707" t="s">
        <v>371</v>
      </c>
      <c r="GS707" t="s">
        <v>371</v>
      </c>
      <c r="GT707" t="s">
        <v>371</v>
      </c>
      <c r="GU707" t="s">
        <v>371</v>
      </c>
      <c r="GV707" t="s">
        <v>371</v>
      </c>
      <c r="GW707" t="s">
        <v>371</v>
      </c>
      <c r="GX707" t="s">
        <v>371</v>
      </c>
      <c r="HA707" t="s">
        <v>375</v>
      </c>
    </row>
    <row r="708" spans="1:209" ht="14.25" customHeight="1" x14ac:dyDescent="0.25">
      <c r="A708" t="s">
        <v>763</v>
      </c>
      <c r="B708" t="s">
        <v>376</v>
      </c>
      <c r="C708">
        <v>1</v>
      </c>
      <c r="D708" t="s">
        <v>666</v>
      </c>
      <c r="E708" s="73"/>
      <c r="AA708" t="s">
        <v>377</v>
      </c>
      <c r="AB708" s="73">
        <v>46200</v>
      </c>
      <c r="AE708" t="s">
        <v>684</v>
      </c>
      <c r="AF708" t="s">
        <v>379</v>
      </c>
      <c r="AI708" t="s">
        <v>688</v>
      </c>
      <c r="AJ708">
        <v>1</v>
      </c>
      <c r="AK708" t="s">
        <v>372</v>
      </c>
      <c r="AP708" t="s">
        <v>374</v>
      </c>
      <c r="AQ708" s="73"/>
      <c r="BR708" s="73"/>
      <c r="CX708" s="73"/>
      <c r="EQ708" s="73"/>
    </row>
    <row r="709" spans="1:209" ht="14.25" customHeight="1" x14ac:dyDescent="0.25">
      <c r="A709" t="s">
        <v>763</v>
      </c>
      <c r="B709" t="s">
        <v>381</v>
      </c>
      <c r="C709">
        <v>1</v>
      </c>
      <c r="D709" t="s">
        <v>666</v>
      </c>
      <c r="E709" s="73"/>
      <c r="AB709" s="73"/>
      <c r="AQ709" s="73">
        <v>46200</v>
      </c>
      <c r="AT709" t="s">
        <v>670</v>
      </c>
      <c r="AU709" t="s">
        <v>385</v>
      </c>
      <c r="AV709" t="s">
        <v>383</v>
      </c>
      <c r="AW709" t="s">
        <v>384</v>
      </c>
      <c r="AX709" t="s">
        <v>385</v>
      </c>
      <c r="AY709" t="s">
        <v>385</v>
      </c>
      <c r="AZ709" t="s">
        <v>383</v>
      </c>
      <c r="BA709" t="s">
        <v>367</v>
      </c>
      <c r="BB709" t="s">
        <v>367</v>
      </c>
      <c r="BC709">
        <v>8</v>
      </c>
      <c r="BD709" t="s">
        <v>374</v>
      </c>
      <c r="BR709" s="73"/>
      <c r="CX709" s="73"/>
      <c r="EQ709" s="73"/>
    </row>
    <row r="710" spans="1:209" ht="14.25" customHeight="1" x14ac:dyDescent="0.25">
      <c r="A710" t="s">
        <v>764</v>
      </c>
      <c r="D710" t="s">
        <v>666</v>
      </c>
      <c r="E710" s="73">
        <v>46200</v>
      </c>
      <c r="H710" t="s">
        <v>403</v>
      </c>
      <c r="I710" t="s">
        <v>403</v>
      </c>
      <c r="J710">
        <v>1993</v>
      </c>
      <c r="K710" t="s">
        <v>448</v>
      </c>
      <c r="L710" t="s">
        <v>370</v>
      </c>
      <c r="M710" t="s">
        <v>371</v>
      </c>
      <c r="N710" t="s">
        <v>371</v>
      </c>
      <c r="O710" t="s">
        <v>371</v>
      </c>
      <c r="P710" t="s">
        <v>371</v>
      </c>
      <c r="Q710" t="s">
        <v>371</v>
      </c>
      <c r="R710" t="s">
        <v>372</v>
      </c>
      <c r="S710" t="s">
        <v>372</v>
      </c>
      <c r="T710" t="s">
        <v>372</v>
      </c>
      <c r="U710" t="s">
        <v>367</v>
      </c>
      <c r="W710" t="s">
        <v>367</v>
      </c>
      <c r="X710" t="s">
        <v>432</v>
      </c>
      <c r="Y710" t="s">
        <v>421</v>
      </c>
      <c r="Z710" t="s">
        <v>374</v>
      </c>
      <c r="AB710" s="73"/>
      <c r="AQ710" s="73"/>
      <c r="BG710" t="s">
        <v>371</v>
      </c>
      <c r="BH710" t="s">
        <v>371</v>
      </c>
      <c r="BI710" t="s">
        <v>371</v>
      </c>
      <c r="BJ710" t="s">
        <v>371</v>
      </c>
      <c r="BK710" t="s">
        <v>371</v>
      </c>
      <c r="BL710" t="s">
        <v>371</v>
      </c>
      <c r="BM710" t="s">
        <v>371</v>
      </c>
      <c r="BN710" t="s">
        <v>371</v>
      </c>
      <c r="BO710" t="s">
        <v>371</v>
      </c>
      <c r="BQ710" t="s">
        <v>375</v>
      </c>
      <c r="BR710" s="73"/>
      <c r="CX710" s="73"/>
      <c r="EQ710" s="73"/>
      <c r="FT710">
        <v>0</v>
      </c>
      <c r="FZ710" t="s">
        <v>371</v>
      </c>
      <c r="GA710" t="s">
        <v>371</v>
      </c>
      <c r="GB710" t="s">
        <v>371</v>
      </c>
      <c r="GC710" t="s">
        <v>371</v>
      </c>
      <c r="GD710" t="s">
        <v>371</v>
      </c>
      <c r="GF710" t="s">
        <v>371</v>
      </c>
      <c r="GG710" t="s">
        <v>371</v>
      </c>
      <c r="GH710" t="s">
        <v>371</v>
      </c>
      <c r="GI710" t="s">
        <v>371</v>
      </c>
      <c r="GJ710" t="s">
        <v>371</v>
      </c>
      <c r="GK710" t="s">
        <v>371</v>
      </c>
      <c r="GN710" t="s">
        <v>371</v>
      </c>
      <c r="GO710" t="s">
        <v>371</v>
      </c>
      <c r="GP710" t="s">
        <v>371</v>
      </c>
      <c r="GQ710" t="s">
        <v>371</v>
      </c>
      <c r="GR710" t="s">
        <v>371</v>
      </c>
      <c r="GS710" t="s">
        <v>371</v>
      </c>
      <c r="GT710" t="s">
        <v>371</v>
      </c>
      <c r="GU710" t="s">
        <v>371</v>
      </c>
      <c r="GV710" t="s">
        <v>371</v>
      </c>
      <c r="GW710" t="s">
        <v>371</v>
      </c>
      <c r="GX710" t="s">
        <v>371</v>
      </c>
      <c r="HA710" t="s">
        <v>375</v>
      </c>
    </row>
    <row r="711" spans="1:209" ht="14.25" customHeight="1" x14ac:dyDescent="0.25">
      <c r="A711" t="s">
        <v>764</v>
      </c>
      <c r="B711" t="s">
        <v>376</v>
      </c>
      <c r="C711">
        <v>1</v>
      </c>
      <c r="D711" t="s">
        <v>666</v>
      </c>
      <c r="E711" s="73"/>
      <c r="AA711" t="s">
        <v>377</v>
      </c>
      <c r="AB711" s="73">
        <v>46200</v>
      </c>
      <c r="AE711" t="s">
        <v>684</v>
      </c>
      <c r="AF711" t="s">
        <v>379</v>
      </c>
      <c r="AI711" t="s">
        <v>688</v>
      </c>
      <c r="AJ711">
        <v>1</v>
      </c>
      <c r="AK711" t="s">
        <v>372</v>
      </c>
      <c r="AP711" t="s">
        <v>374</v>
      </c>
      <c r="AQ711" s="73"/>
      <c r="BR711" s="73"/>
      <c r="CX711" s="73"/>
      <c r="EQ711" s="73"/>
    </row>
    <row r="712" spans="1:209" ht="14.25" customHeight="1" x14ac:dyDescent="0.25">
      <c r="A712" t="s">
        <v>764</v>
      </c>
      <c r="B712" t="s">
        <v>381</v>
      </c>
      <c r="C712">
        <v>1</v>
      </c>
      <c r="D712" t="s">
        <v>666</v>
      </c>
      <c r="E712" s="73"/>
      <c r="AB712" s="73"/>
      <c r="AQ712" s="73">
        <v>46200</v>
      </c>
      <c r="AT712" t="s">
        <v>670</v>
      </c>
      <c r="AU712" t="s">
        <v>404</v>
      </c>
      <c r="AV712" t="s">
        <v>404</v>
      </c>
      <c r="AW712" t="s">
        <v>383</v>
      </c>
      <c r="AX712" t="s">
        <v>404</v>
      </c>
      <c r="AY712" t="s">
        <v>383</v>
      </c>
      <c r="AZ712" t="s">
        <v>384</v>
      </c>
      <c r="BA712" t="s">
        <v>367</v>
      </c>
      <c r="BB712" t="s">
        <v>367</v>
      </c>
      <c r="BC712">
        <v>11</v>
      </c>
      <c r="BD712" t="s">
        <v>374</v>
      </c>
      <c r="BR712" s="73"/>
      <c r="CX712" s="73"/>
      <c r="EQ712" s="73"/>
    </row>
    <row r="713" spans="1:209" ht="14.25" customHeight="1" x14ac:dyDescent="0.25">
      <c r="A713" t="s">
        <v>765</v>
      </c>
      <c r="D713" t="s">
        <v>666</v>
      </c>
      <c r="E713" s="73">
        <v>46200</v>
      </c>
      <c r="H713" t="s">
        <v>403</v>
      </c>
      <c r="I713" t="s">
        <v>403</v>
      </c>
      <c r="J713">
        <v>1999</v>
      </c>
      <c r="K713" t="s">
        <v>448</v>
      </c>
      <c r="L713" t="s">
        <v>371</v>
      </c>
      <c r="M713" t="s">
        <v>371</v>
      </c>
      <c r="N713" t="s">
        <v>371</v>
      </c>
      <c r="O713" t="s">
        <v>371</v>
      </c>
      <c r="P713" t="s">
        <v>371</v>
      </c>
      <c r="Q713" t="s">
        <v>370</v>
      </c>
      <c r="R713" t="s">
        <v>372</v>
      </c>
      <c r="S713" t="s">
        <v>372</v>
      </c>
      <c r="T713" t="s">
        <v>367</v>
      </c>
      <c r="U713" t="s">
        <v>367</v>
      </c>
      <c r="W713" t="s">
        <v>367</v>
      </c>
      <c r="X713" t="s">
        <v>373</v>
      </c>
      <c r="Y713" t="s">
        <v>367</v>
      </c>
      <c r="Z713" t="s">
        <v>374</v>
      </c>
      <c r="AB713" s="73"/>
      <c r="AQ713" s="73"/>
      <c r="BG713" t="s">
        <v>371</v>
      </c>
      <c r="BH713" t="s">
        <v>371</v>
      </c>
      <c r="BI713" t="s">
        <v>371</v>
      </c>
      <c r="BJ713" t="s">
        <v>371</v>
      </c>
      <c r="BK713" t="s">
        <v>371</v>
      </c>
      <c r="BL713" t="s">
        <v>371</v>
      </c>
      <c r="BM713" t="s">
        <v>371</v>
      </c>
      <c r="BN713" t="s">
        <v>371</v>
      </c>
      <c r="BO713" t="s">
        <v>371</v>
      </c>
      <c r="BQ713" t="s">
        <v>375</v>
      </c>
      <c r="BR713" s="73"/>
      <c r="CX713" s="73"/>
      <c r="EQ713" s="73"/>
      <c r="FT713">
        <v>0</v>
      </c>
      <c r="FZ713" t="s">
        <v>371</v>
      </c>
      <c r="GA713" t="s">
        <v>371</v>
      </c>
      <c r="GB713" t="s">
        <v>371</v>
      </c>
      <c r="GC713" t="s">
        <v>371</v>
      </c>
      <c r="GD713" t="s">
        <v>371</v>
      </c>
      <c r="GF713" t="s">
        <v>371</v>
      </c>
      <c r="GG713" t="s">
        <v>371</v>
      </c>
      <c r="GH713" t="s">
        <v>371</v>
      </c>
      <c r="GI713" t="s">
        <v>371</v>
      </c>
      <c r="GJ713" t="s">
        <v>371</v>
      </c>
      <c r="GK713" t="s">
        <v>371</v>
      </c>
      <c r="GN713" t="s">
        <v>371</v>
      </c>
      <c r="GO713" t="s">
        <v>371</v>
      </c>
      <c r="GP713" t="s">
        <v>371</v>
      </c>
      <c r="GQ713" t="s">
        <v>371</v>
      </c>
      <c r="GR713" t="s">
        <v>371</v>
      </c>
      <c r="GS713" t="s">
        <v>371</v>
      </c>
      <c r="GT713" t="s">
        <v>371</v>
      </c>
      <c r="GU713" t="s">
        <v>371</v>
      </c>
      <c r="GV713" t="s">
        <v>371</v>
      </c>
      <c r="GW713" t="s">
        <v>371</v>
      </c>
      <c r="GX713" t="s">
        <v>371</v>
      </c>
      <c r="HA713" t="s">
        <v>375</v>
      </c>
    </row>
    <row r="714" spans="1:209" ht="14.25" customHeight="1" x14ac:dyDescent="0.25">
      <c r="A714" t="s">
        <v>765</v>
      </c>
      <c r="B714" t="s">
        <v>376</v>
      </c>
      <c r="C714">
        <v>1</v>
      </c>
      <c r="D714" t="s">
        <v>666</v>
      </c>
      <c r="E714" s="73"/>
      <c r="AA714" t="s">
        <v>377</v>
      </c>
      <c r="AB714" s="73">
        <v>46200</v>
      </c>
      <c r="AE714" t="s">
        <v>684</v>
      </c>
      <c r="AF714" t="s">
        <v>379</v>
      </c>
      <c r="AI714" t="s">
        <v>688</v>
      </c>
      <c r="AJ714">
        <v>1</v>
      </c>
      <c r="AK714" t="s">
        <v>372</v>
      </c>
      <c r="AP714" t="s">
        <v>374</v>
      </c>
      <c r="AQ714" s="73"/>
      <c r="BR714" s="73"/>
      <c r="CX714" s="73"/>
      <c r="EQ714" s="73"/>
    </row>
    <row r="715" spans="1:209" ht="14.25" customHeight="1" x14ac:dyDescent="0.25">
      <c r="A715" t="s">
        <v>766</v>
      </c>
      <c r="D715" t="s">
        <v>666</v>
      </c>
      <c r="E715" s="73">
        <v>46200</v>
      </c>
      <c r="H715" t="s">
        <v>403</v>
      </c>
      <c r="I715" t="s">
        <v>403</v>
      </c>
      <c r="J715">
        <v>2000</v>
      </c>
      <c r="K715" t="s">
        <v>448</v>
      </c>
      <c r="L715" t="s">
        <v>370</v>
      </c>
      <c r="M715" t="s">
        <v>371</v>
      </c>
      <c r="N715" t="s">
        <v>371</v>
      </c>
      <c r="O715" t="s">
        <v>371</v>
      </c>
      <c r="P715" t="s">
        <v>371</v>
      </c>
      <c r="Q715" t="s">
        <v>371</v>
      </c>
      <c r="R715" t="s">
        <v>372</v>
      </c>
      <c r="S715" t="s">
        <v>372</v>
      </c>
      <c r="T715" t="s">
        <v>367</v>
      </c>
      <c r="U715" t="s">
        <v>367</v>
      </c>
      <c r="W715" t="s">
        <v>367</v>
      </c>
      <c r="X715" t="s">
        <v>373</v>
      </c>
      <c r="Y715" t="s">
        <v>367</v>
      </c>
      <c r="Z715" t="s">
        <v>374</v>
      </c>
      <c r="AB715" s="73"/>
      <c r="AQ715" s="73"/>
      <c r="BG715" t="s">
        <v>371</v>
      </c>
      <c r="BH715" t="s">
        <v>371</v>
      </c>
      <c r="BI715" t="s">
        <v>371</v>
      </c>
      <c r="BJ715" t="s">
        <v>371</v>
      </c>
      <c r="BK715" t="s">
        <v>371</v>
      </c>
      <c r="BL715" t="s">
        <v>371</v>
      </c>
      <c r="BM715" t="s">
        <v>371</v>
      </c>
      <c r="BN715" t="s">
        <v>371</v>
      </c>
      <c r="BO715" t="s">
        <v>371</v>
      </c>
      <c r="BQ715" t="s">
        <v>375</v>
      </c>
      <c r="BR715" s="73"/>
      <c r="CX715" s="73"/>
      <c r="EQ715" s="73"/>
      <c r="FT715">
        <v>0</v>
      </c>
      <c r="FZ715" t="s">
        <v>371</v>
      </c>
      <c r="GA715" t="s">
        <v>371</v>
      </c>
      <c r="GB715" t="s">
        <v>371</v>
      </c>
      <c r="GC715" t="s">
        <v>371</v>
      </c>
      <c r="GD715" t="s">
        <v>371</v>
      </c>
      <c r="GF715" t="s">
        <v>371</v>
      </c>
      <c r="GG715" t="s">
        <v>371</v>
      </c>
      <c r="GH715" t="s">
        <v>371</v>
      </c>
      <c r="GI715" t="s">
        <v>371</v>
      </c>
      <c r="GJ715" t="s">
        <v>371</v>
      </c>
      <c r="GK715" t="s">
        <v>371</v>
      </c>
      <c r="GN715" t="s">
        <v>371</v>
      </c>
      <c r="GO715" t="s">
        <v>371</v>
      </c>
      <c r="GP715" t="s">
        <v>371</v>
      </c>
      <c r="GQ715" t="s">
        <v>371</v>
      </c>
      <c r="GR715" t="s">
        <v>371</v>
      </c>
      <c r="GS715" t="s">
        <v>371</v>
      </c>
      <c r="GT715" t="s">
        <v>371</v>
      </c>
      <c r="GU715" t="s">
        <v>371</v>
      </c>
      <c r="GV715" t="s">
        <v>371</v>
      </c>
      <c r="GW715" t="s">
        <v>371</v>
      </c>
      <c r="GX715" t="s">
        <v>371</v>
      </c>
      <c r="HA715" t="s">
        <v>375</v>
      </c>
    </row>
    <row r="716" spans="1:209" ht="14.25" customHeight="1" x14ac:dyDescent="0.25">
      <c r="A716" t="s">
        <v>766</v>
      </c>
      <c r="B716" t="s">
        <v>376</v>
      </c>
      <c r="C716">
        <v>1</v>
      </c>
      <c r="D716" t="s">
        <v>666</v>
      </c>
      <c r="E716" s="73"/>
      <c r="AA716" t="s">
        <v>377</v>
      </c>
      <c r="AB716" s="73">
        <v>46200</v>
      </c>
      <c r="AE716" t="s">
        <v>684</v>
      </c>
      <c r="AF716" t="s">
        <v>379</v>
      </c>
      <c r="AI716" t="s">
        <v>400</v>
      </c>
      <c r="AJ716">
        <v>1</v>
      </c>
      <c r="AK716" t="s">
        <v>372</v>
      </c>
      <c r="AP716" t="s">
        <v>374</v>
      </c>
      <c r="AQ716" s="73"/>
      <c r="BR716" s="73"/>
      <c r="CX716" s="73"/>
      <c r="EQ716" s="73"/>
    </row>
    <row r="717" spans="1:209" ht="14.25" customHeight="1" x14ac:dyDescent="0.25">
      <c r="A717" t="s">
        <v>766</v>
      </c>
      <c r="B717" t="s">
        <v>381</v>
      </c>
      <c r="C717">
        <v>1</v>
      </c>
      <c r="D717" t="s">
        <v>666</v>
      </c>
      <c r="E717" s="73"/>
      <c r="AB717" s="73"/>
      <c r="AQ717" s="73">
        <v>46200</v>
      </c>
      <c r="AT717" t="s">
        <v>670</v>
      </c>
      <c r="AU717" t="s">
        <v>385</v>
      </c>
      <c r="AV717" t="s">
        <v>383</v>
      </c>
      <c r="AW717" t="s">
        <v>385</v>
      </c>
      <c r="AX717" t="s">
        <v>404</v>
      </c>
      <c r="AY717" t="s">
        <v>383</v>
      </c>
      <c r="AZ717" t="s">
        <v>384</v>
      </c>
      <c r="BA717" t="s">
        <v>367</v>
      </c>
      <c r="BB717" t="s">
        <v>367</v>
      </c>
      <c r="BC717">
        <v>9</v>
      </c>
      <c r="BD717" t="s">
        <v>374</v>
      </c>
      <c r="BR717" s="73"/>
      <c r="CX717" s="73"/>
      <c r="EQ717" s="73"/>
    </row>
    <row r="718" spans="1:209" ht="14.25" customHeight="1" x14ac:dyDescent="0.25">
      <c r="A718" t="s">
        <v>767</v>
      </c>
      <c r="D718" t="s">
        <v>666</v>
      </c>
      <c r="E718" s="73">
        <v>46200</v>
      </c>
      <c r="H718" t="s">
        <v>368</v>
      </c>
      <c r="I718" t="s">
        <v>368</v>
      </c>
      <c r="J718">
        <v>1997</v>
      </c>
      <c r="K718" t="s">
        <v>561</v>
      </c>
      <c r="L718" t="s">
        <v>371</v>
      </c>
      <c r="M718" t="s">
        <v>370</v>
      </c>
      <c r="N718" t="s">
        <v>371</v>
      </c>
      <c r="O718" t="s">
        <v>371</v>
      </c>
      <c r="P718" t="s">
        <v>371</v>
      </c>
      <c r="Q718" t="s">
        <v>371</v>
      </c>
      <c r="R718" t="s">
        <v>372</v>
      </c>
      <c r="S718" t="s">
        <v>372</v>
      </c>
      <c r="T718" t="s">
        <v>372</v>
      </c>
      <c r="U718" t="s">
        <v>367</v>
      </c>
      <c r="W718" t="s">
        <v>367</v>
      </c>
      <c r="X718" t="s">
        <v>373</v>
      </c>
      <c r="Y718" t="s">
        <v>367</v>
      </c>
      <c r="Z718" t="s">
        <v>374</v>
      </c>
      <c r="AB718" s="73"/>
      <c r="AQ718" s="73"/>
      <c r="BG718" t="s">
        <v>371</v>
      </c>
      <c r="BH718" t="s">
        <v>371</v>
      </c>
      <c r="BI718" t="s">
        <v>371</v>
      </c>
      <c r="BJ718" t="s">
        <v>371</v>
      </c>
      <c r="BK718" t="s">
        <v>371</v>
      </c>
      <c r="BL718" t="s">
        <v>371</v>
      </c>
      <c r="BM718" t="s">
        <v>371</v>
      </c>
      <c r="BN718" t="s">
        <v>371</v>
      </c>
      <c r="BO718" t="s">
        <v>371</v>
      </c>
      <c r="BQ718" t="s">
        <v>375</v>
      </c>
      <c r="BR718" s="73"/>
      <c r="CX718" s="73"/>
      <c r="EQ718" s="73"/>
      <c r="FT718">
        <v>0</v>
      </c>
      <c r="FZ718" t="s">
        <v>371</v>
      </c>
      <c r="GA718" t="s">
        <v>371</v>
      </c>
      <c r="GB718" t="s">
        <v>371</v>
      </c>
      <c r="GC718" t="s">
        <v>371</v>
      </c>
      <c r="GD718" t="s">
        <v>371</v>
      </c>
      <c r="GF718" t="s">
        <v>371</v>
      </c>
      <c r="GG718" t="s">
        <v>371</v>
      </c>
      <c r="GH718" t="s">
        <v>371</v>
      </c>
      <c r="GI718" t="s">
        <v>371</v>
      </c>
      <c r="GJ718" t="s">
        <v>371</v>
      </c>
      <c r="GK718" t="s">
        <v>371</v>
      </c>
      <c r="GN718" t="s">
        <v>371</v>
      </c>
      <c r="GO718" t="s">
        <v>371</v>
      </c>
      <c r="GP718" t="s">
        <v>371</v>
      </c>
      <c r="GQ718" t="s">
        <v>371</v>
      </c>
      <c r="GR718" t="s">
        <v>371</v>
      </c>
      <c r="GS718" t="s">
        <v>371</v>
      </c>
      <c r="GT718" t="s">
        <v>371</v>
      </c>
      <c r="GU718" t="s">
        <v>371</v>
      </c>
      <c r="GV718" t="s">
        <v>371</v>
      </c>
      <c r="GW718" t="s">
        <v>371</v>
      </c>
      <c r="GX718" t="s">
        <v>371</v>
      </c>
      <c r="HA718" t="s">
        <v>375</v>
      </c>
    </row>
    <row r="719" spans="1:209" ht="14.25" customHeight="1" x14ac:dyDescent="0.25">
      <c r="A719" t="s">
        <v>767</v>
      </c>
      <c r="B719" t="s">
        <v>376</v>
      </c>
      <c r="C719">
        <v>1</v>
      </c>
      <c r="D719" t="s">
        <v>666</v>
      </c>
      <c r="E719" s="73"/>
      <c r="AA719" t="s">
        <v>377</v>
      </c>
      <c r="AB719" s="73">
        <v>46200</v>
      </c>
      <c r="AE719" t="s">
        <v>684</v>
      </c>
      <c r="AF719" t="s">
        <v>379</v>
      </c>
      <c r="AI719" t="s">
        <v>688</v>
      </c>
      <c r="AJ719">
        <v>1</v>
      </c>
      <c r="AK719" t="s">
        <v>372</v>
      </c>
      <c r="AP719" t="s">
        <v>374</v>
      </c>
      <c r="AQ719" s="73"/>
      <c r="BR719" s="73"/>
      <c r="CX719" s="73"/>
      <c r="EQ719" s="73"/>
    </row>
    <row r="720" spans="1:209" ht="14.25" customHeight="1" x14ac:dyDescent="0.25">
      <c r="A720" t="s">
        <v>767</v>
      </c>
      <c r="B720" t="s">
        <v>381</v>
      </c>
      <c r="C720">
        <v>1</v>
      </c>
      <c r="D720" t="s">
        <v>666</v>
      </c>
      <c r="E720" s="73"/>
      <c r="AB720" s="73"/>
      <c r="AQ720" s="73">
        <v>46200</v>
      </c>
      <c r="AT720" t="s">
        <v>670</v>
      </c>
      <c r="AU720" t="s">
        <v>385</v>
      </c>
      <c r="AV720" t="s">
        <v>383</v>
      </c>
      <c r="AW720" t="s">
        <v>385</v>
      </c>
      <c r="AX720" t="s">
        <v>404</v>
      </c>
      <c r="AY720" t="s">
        <v>384</v>
      </c>
      <c r="AZ720" t="s">
        <v>384</v>
      </c>
      <c r="BA720" t="s">
        <v>367</v>
      </c>
      <c r="BB720" t="s">
        <v>367</v>
      </c>
      <c r="BC720">
        <v>8</v>
      </c>
      <c r="BD720" t="s">
        <v>374</v>
      </c>
      <c r="BR720" s="73"/>
      <c r="CX720" s="73"/>
      <c r="EQ720" s="73"/>
    </row>
    <row r="721" spans="1:209" ht="14.25" customHeight="1" x14ac:dyDescent="0.25">
      <c r="A721" t="s">
        <v>768</v>
      </c>
      <c r="D721" t="s">
        <v>666</v>
      </c>
      <c r="E721" s="73">
        <v>46200</v>
      </c>
      <c r="H721" t="s">
        <v>403</v>
      </c>
      <c r="I721" t="s">
        <v>403</v>
      </c>
      <c r="J721">
        <v>1998</v>
      </c>
      <c r="K721" t="s">
        <v>448</v>
      </c>
      <c r="L721" t="s">
        <v>370</v>
      </c>
      <c r="M721" t="s">
        <v>371</v>
      </c>
      <c r="N721" t="s">
        <v>371</v>
      </c>
      <c r="O721" t="s">
        <v>371</v>
      </c>
      <c r="P721" t="s">
        <v>371</v>
      </c>
      <c r="Q721" t="s">
        <v>371</v>
      </c>
      <c r="R721" t="s">
        <v>372</v>
      </c>
      <c r="S721" t="s">
        <v>372</v>
      </c>
      <c r="T721" t="s">
        <v>372</v>
      </c>
      <c r="U721" t="s">
        <v>367</v>
      </c>
      <c r="W721" t="s">
        <v>367</v>
      </c>
      <c r="X721" t="s">
        <v>373</v>
      </c>
      <c r="Y721" t="s">
        <v>367</v>
      </c>
      <c r="Z721" t="s">
        <v>374</v>
      </c>
      <c r="AB721" s="73"/>
      <c r="AQ721" s="73"/>
      <c r="BG721" t="s">
        <v>371</v>
      </c>
      <c r="BH721" t="s">
        <v>371</v>
      </c>
      <c r="BI721" t="s">
        <v>371</v>
      </c>
      <c r="BJ721" t="s">
        <v>371</v>
      </c>
      <c r="BK721" t="s">
        <v>371</v>
      </c>
      <c r="BL721" t="s">
        <v>371</v>
      </c>
      <c r="BM721" t="s">
        <v>371</v>
      </c>
      <c r="BN721" t="s">
        <v>371</v>
      </c>
      <c r="BO721" t="s">
        <v>371</v>
      </c>
      <c r="BQ721" t="s">
        <v>375</v>
      </c>
      <c r="BR721" s="73"/>
      <c r="CX721" s="73"/>
      <c r="EQ721" s="73"/>
      <c r="FT721">
        <v>0</v>
      </c>
      <c r="FZ721" t="s">
        <v>371</v>
      </c>
      <c r="GA721" t="s">
        <v>371</v>
      </c>
      <c r="GB721" t="s">
        <v>371</v>
      </c>
      <c r="GC721" t="s">
        <v>371</v>
      </c>
      <c r="GD721" t="s">
        <v>371</v>
      </c>
      <c r="GF721" t="s">
        <v>371</v>
      </c>
      <c r="GG721" t="s">
        <v>371</v>
      </c>
      <c r="GH721" t="s">
        <v>371</v>
      </c>
      <c r="GI721" t="s">
        <v>371</v>
      </c>
      <c r="GJ721" t="s">
        <v>371</v>
      </c>
      <c r="GK721" t="s">
        <v>371</v>
      </c>
      <c r="GN721" t="s">
        <v>371</v>
      </c>
      <c r="GO721" t="s">
        <v>371</v>
      </c>
      <c r="GP721" t="s">
        <v>371</v>
      </c>
      <c r="GQ721" t="s">
        <v>371</v>
      </c>
      <c r="GR721" t="s">
        <v>371</v>
      </c>
      <c r="GS721" t="s">
        <v>371</v>
      </c>
      <c r="GT721" t="s">
        <v>371</v>
      </c>
      <c r="GU721" t="s">
        <v>371</v>
      </c>
      <c r="GV721" t="s">
        <v>371</v>
      </c>
      <c r="GW721" t="s">
        <v>371</v>
      </c>
      <c r="GX721" t="s">
        <v>371</v>
      </c>
      <c r="HA721" t="s">
        <v>375</v>
      </c>
    </row>
    <row r="722" spans="1:209" ht="14.25" customHeight="1" x14ac:dyDescent="0.25">
      <c r="A722" t="s">
        <v>768</v>
      </c>
      <c r="B722" t="s">
        <v>376</v>
      </c>
      <c r="C722">
        <v>1</v>
      </c>
      <c r="D722" t="s">
        <v>666</v>
      </c>
      <c r="E722" s="73"/>
      <c r="AA722" t="s">
        <v>377</v>
      </c>
      <c r="AB722" s="73">
        <v>46200</v>
      </c>
      <c r="AE722" t="s">
        <v>684</v>
      </c>
      <c r="AF722" t="s">
        <v>379</v>
      </c>
      <c r="AI722" t="s">
        <v>688</v>
      </c>
      <c r="AJ722">
        <v>1</v>
      </c>
      <c r="AK722" t="s">
        <v>372</v>
      </c>
      <c r="AP722" t="s">
        <v>374</v>
      </c>
      <c r="AQ722" s="73"/>
      <c r="BR722" s="73"/>
      <c r="CX722" s="73"/>
      <c r="EQ722" s="73"/>
    </row>
    <row r="723" spans="1:209" ht="14.25" customHeight="1" x14ac:dyDescent="0.25">
      <c r="A723" t="s">
        <v>768</v>
      </c>
      <c r="B723" t="s">
        <v>381</v>
      </c>
      <c r="C723">
        <v>1</v>
      </c>
      <c r="D723" t="s">
        <v>666</v>
      </c>
      <c r="E723" s="73"/>
      <c r="AB723" s="73"/>
      <c r="AQ723" s="73">
        <v>46200</v>
      </c>
      <c r="AT723" t="s">
        <v>680</v>
      </c>
      <c r="AU723" t="s">
        <v>383</v>
      </c>
      <c r="AV723" t="s">
        <v>404</v>
      </c>
      <c r="AW723" t="s">
        <v>385</v>
      </c>
      <c r="AX723" t="s">
        <v>383</v>
      </c>
      <c r="AY723" t="s">
        <v>383</v>
      </c>
      <c r="AZ723" t="s">
        <v>383</v>
      </c>
      <c r="BA723" t="s">
        <v>367</v>
      </c>
      <c r="BB723" t="s">
        <v>367</v>
      </c>
      <c r="BC723">
        <v>9</v>
      </c>
      <c r="BD723" t="s">
        <v>374</v>
      </c>
      <c r="BR723" s="73"/>
      <c r="CX723" s="73"/>
      <c r="EQ723" s="73"/>
    </row>
    <row r="724" spans="1:209" ht="14.25" customHeight="1" x14ac:dyDescent="0.25">
      <c r="A724" t="s">
        <v>769</v>
      </c>
      <c r="D724" t="s">
        <v>666</v>
      </c>
      <c r="E724" s="73">
        <v>46200</v>
      </c>
      <c r="H724" t="s">
        <v>403</v>
      </c>
      <c r="I724" t="s">
        <v>403</v>
      </c>
      <c r="J724">
        <v>1995</v>
      </c>
      <c r="K724" t="s">
        <v>448</v>
      </c>
      <c r="L724" t="s">
        <v>370</v>
      </c>
      <c r="M724" t="s">
        <v>371</v>
      </c>
      <c r="N724" t="s">
        <v>371</v>
      </c>
      <c r="O724" t="s">
        <v>371</v>
      </c>
      <c r="P724" t="s">
        <v>371</v>
      </c>
      <c r="Q724" t="s">
        <v>371</v>
      </c>
      <c r="R724" t="s">
        <v>372</v>
      </c>
      <c r="S724" t="s">
        <v>372</v>
      </c>
      <c r="T724" t="s">
        <v>372</v>
      </c>
      <c r="U724" t="s">
        <v>367</v>
      </c>
      <c r="W724" t="s">
        <v>367</v>
      </c>
      <c r="X724" t="s">
        <v>432</v>
      </c>
      <c r="Y724" t="s">
        <v>396</v>
      </c>
      <c r="Z724" t="s">
        <v>374</v>
      </c>
      <c r="AB724" s="73"/>
      <c r="AQ724" s="73"/>
      <c r="BG724" t="s">
        <v>371</v>
      </c>
      <c r="BH724" t="s">
        <v>371</v>
      </c>
      <c r="BI724" t="s">
        <v>371</v>
      </c>
      <c r="BJ724" t="s">
        <v>371</v>
      </c>
      <c r="BK724" t="s">
        <v>371</v>
      </c>
      <c r="BL724" t="s">
        <v>371</v>
      </c>
      <c r="BM724" t="s">
        <v>371</v>
      </c>
      <c r="BN724" t="s">
        <v>371</v>
      </c>
      <c r="BO724" t="s">
        <v>371</v>
      </c>
      <c r="BQ724" t="s">
        <v>375</v>
      </c>
      <c r="BR724" s="73"/>
      <c r="CX724" s="73"/>
      <c r="EQ724" s="73"/>
      <c r="FT724">
        <v>0</v>
      </c>
      <c r="FZ724" t="s">
        <v>371</v>
      </c>
      <c r="GA724" t="s">
        <v>371</v>
      </c>
      <c r="GB724" t="s">
        <v>371</v>
      </c>
      <c r="GC724" t="s">
        <v>371</v>
      </c>
      <c r="GD724" t="s">
        <v>371</v>
      </c>
      <c r="GF724" t="s">
        <v>371</v>
      </c>
      <c r="GG724" t="s">
        <v>371</v>
      </c>
      <c r="GH724" t="s">
        <v>371</v>
      </c>
      <c r="GI724" t="s">
        <v>371</v>
      </c>
      <c r="GJ724" t="s">
        <v>371</v>
      </c>
      <c r="GK724" t="s">
        <v>371</v>
      </c>
      <c r="GN724" t="s">
        <v>371</v>
      </c>
      <c r="GO724" t="s">
        <v>371</v>
      </c>
      <c r="GP724" t="s">
        <v>371</v>
      </c>
      <c r="GQ724" t="s">
        <v>371</v>
      </c>
      <c r="GR724" t="s">
        <v>371</v>
      </c>
      <c r="GS724" t="s">
        <v>371</v>
      </c>
      <c r="GT724" t="s">
        <v>371</v>
      </c>
      <c r="GU724" t="s">
        <v>371</v>
      </c>
      <c r="GV724" t="s">
        <v>371</v>
      </c>
      <c r="GW724" t="s">
        <v>371</v>
      </c>
      <c r="GX724" t="s">
        <v>371</v>
      </c>
      <c r="HA724" t="s">
        <v>375</v>
      </c>
    </row>
    <row r="725" spans="1:209" ht="14.25" customHeight="1" x14ac:dyDescent="0.25">
      <c r="A725" t="s">
        <v>769</v>
      </c>
      <c r="B725" t="s">
        <v>376</v>
      </c>
      <c r="C725">
        <v>1</v>
      </c>
      <c r="D725" t="s">
        <v>666</v>
      </c>
      <c r="E725" s="73"/>
      <c r="AA725" t="s">
        <v>377</v>
      </c>
      <c r="AB725" s="73">
        <v>46200</v>
      </c>
      <c r="AE725" t="s">
        <v>684</v>
      </c>
      <c r="AF725" t="s">
        <v>379</v>
      </c>
      <c r="AI725" t="s">
        <v>400</v>
      </c>
      <c r="AJ725">
        <v>1</v>
      </c>
      <c r="AK725" t="s">
        <v>372</v>
      </c>
      <c r="AP725" t="s">
        <v>374</v>
      </c>
      <c r="AQ725" s="73"/>
      <c r="BR725" s="73"/>
      <c r="CX725" s="73"/>
      <c r="EQ725" s="73"/>
    </row>
    <row r="726" spans="1:209" ht="14.25" customHeight="1" x14ac:dyDescent="0.25">
      <c r="A726" t="s">
        <v>770</v>
      </c>
      <c r="D726" t="s">
        <v>666</v>
      </c>
      <c r="E726" s="73">
        <v>46200</v>
      </c>
      <c r="H726" t="s">
        <v>403</v>
      </c>
      <c r="I726" t="s">
        <v>403</v>
      </c>
      <c r="J726">
        <v>1997</v>
      </c>
      <c r="K726" t="s">
        <v>448</v>
      </c>
      <c r="L726" t="s">
        <v>370</v>
      </c>
      <c r="M726" t="s">
        <v>371</v>
      </c>
      <c r="N726" t="s">
        <v>371</v>
      </c>
      <c r="O726" t="s">
        <v>371</v>
      </c>
      <c r="P726" t="s">
        <v>371</v>
      </c>
      <c r="Q726" t="s">
        <v>371</v>
      </c>
      <c r="R726" t="s">
        <v>372</v>
      </c>
      <c r="S726" t="s">
        <v>372</v>
      </c>
      <c r="T726" t="s">
        <v>367</v>
      </c>
      <c r="U726" t="s">
        <v>367</v>
      </c>
      <c r="W726" t="s">
        <v>367</v>
      </c>
      <c r="X726" t="s">
        <v>392</v>
      </c>
      <c r="Y726" t="s">
        <v>367</v>
      </c>
      <c r="Z726" t="s">
        <v>374</v>
      </c>
      <c r="AB726" s="73"/>
      <c r="AQ726" s="73"/>
      <c r="BG726" t="s">
        <v>371</v>
      </c>
      <c r="BH726" t="s">
        <v>371</v>
      </c>
      <c r="BI726" t="s">
        <v>371</v>
      </c>
      <c r="BJ726" t="s">
        <v>371</v>
      </c>
      <c r="BK726" t="s">
        <v>371</v>
      </c>
      <c r="BL726" t="s">
        <v>371</v>
      </c>
      <c r="BM726" t="s">
        <v>371</v>
      </c>
      <c r="BN726" t="s">
        <v>371</v>
      </c>
      <c r="BO726" t="s">
        <v>371</v>
      </c>
      <c r="BQ726" t="s">
        <v>375</v>
      </c>
      <c r="BR726" s="73"/>
      <c r="CX726" s="73"/>
      <c r="EQ726" s="73"/>
      <c r="FT726">
        <v>0</v>
      </c>
      <c r="FZ726" t="s">
        <v>371</v>
      </c>
      <c r="GA726" t="s">
        <v>371</v>
      </c>
      <c r="GB726" t="s">
        <v>371</v>
      </c>
      <c r="GC726" t="s">
        <v>371</v>
      </c>
      <c r="GD726" t="s">
        <v>371</v>
      </c>
      <c r="GF726" t="s">
        <v>371</v>
      </c>
      <c r="GG726" t="s">
        <v>371</v>
      </c>
      <c r="GH726" t="s">
        <v>371</v>
      </c>
      <c r="GI726" t="s">
        <v>371</v>
      </c>
      <c r="GJ726" t="s">
        <v>371</v>
      </c>
      <c r="GK726" t="s">
        <v>371</v>
      </c>
      <c r="GN726" t="s">
        <v>371</v>
      </c>
      <c r="GO726" t="s">
        <v>371</v>
      </c>
      <c r="GP726" t="s">
        <v>371</v>
      </c>
      <c r="GQ726" t="s">
        <v>371</v>
      </c>
      <c r="GR726" t="s">
        <v>371</v>
      </c>
      <c r="GS726" t="s">
        <v>371</v>
      </c>
      <c r="GT726" t="s">
        <v>371</v>
      </c>
      <c r="GU726" t="s">
        <v>371</v>
      </c>
      <c r="GV726" t="s">
        <v>371</v>
      </c>
      <c r="GW726" t="s">
        <v>371</v>
      </c>
      <c r="GX726" t="s">
        <v>371</v>
      </c>
      <c r="HA726" t="s">
        <v>375</v>
      </c>
    </row>
    <row r="727" spans="1:209" ht="14.25" customHeight="1" x14ac:dyDescent="0.25">
      <c r="A727" t="s">
        <v>770</v>
      </c>
      <c r="B727" t="s">
        <v>376</v>
      </c>
      <c r="C727">
        <v>1</v>
      </c>
      <c r="D727" t="s">
        <v>666</v>
      </c>
      <c r="E727" s="73"/>
      <c r="AA727" t="s">
        <v>377</v>
      </c>
      <c r="AB727" s="73">
        <v>46200</v>
      </c>
      <c r="AE727" t="s">
        <v>684</v>
      </c>
      <c r="AF727" t="s">
        <v>379</v>
      </c>
      <c r="AI727" t="s">
        <v>400</v>
      </c>
      <c r="AJ727">
        <v>1</v>
      </c>
      <c r="AK727" t="s">
        <v>372</v>
      </c>
      <c r="AP727" t="s">
        <v>374</v>
      </c>
      <c r="AQ727" s="73"/>
      <c r="BR727" s="73"/>
      <c r="CX727" s="73"/>
      <c r="EQ727" s="73"/>
    </row>
    <row r="728" spans="1:209" ht="14.25" customHeight="1" x14ac:dyDescent="0.25">
      <c r="A728" t="s">
        <v>770</v>
      </c>
      <c r="B728" t="s">
        <v>381</v>
      </c>
      <c r="C728">
        <v>1</v>
      </c>
      <c r="D728" t="s">
        <v>666</v>
      </c>
      <c r="E728" s="73"/>
      <c r="AB728" s="73"/>
      <c r="AQ728" s="73">
        <v>46200</v>
      </c>
      <c r="AT728" t="s">
        <v>680</v>
      </c>
      <c r="AU728" t="s">
        <v>385</v>
      </c>
      <c r="AV728" t="s">
        <v>385</v>
      </c>
      <c r="AW728" t="s">
        <v>385</v>
      </c>
      <c r="AX728" t="s">
        <v>383</v>
      </c>
      <c r="AY728" t="s">
        <v>384</v>
      </c>
      <c r="AZ728" t="s">
        <v>383</v>
      </c>
      <c r="BA728" t="s">
        <v>367</v>
      </c>
      <c r="BB728" t="s">
        <v>367</v>
      </c>
      <c r="BC728">
        <v>8</v>
      </c>
      <c r="BD728" t="s">
        <v>374</v>
      </c>
      <c r="BR728" s="73"/>
      <c r="CX728" s="73"/>
      <c r="EQ728" s="73"/>
    </row>
    <row r="729" spans="1:209" ht="14.25" customHeight="1" x14ac:dyDescent="0.25">
      <c r="A729" t="s">
        <v>771</v>
      </c>
      <c r="D729" t="s">
        <v>666</v>
      </c>
      <c r="E729" s="73">
        <v>46200</v>
      </c>
      <c r="H729" t="s">
        <v>403</v>
      </c>
      <c r="I729" t="s">
        <v>403</v>
      </c>
      <c r="J729">
        <v>1994</v>
      </c>
      <c r="K729" t="s">
        <v>448</v>
      </c>
      <c r="L729" t="s">
        <v>370</v>
      </c>
      <c r="M729" t="s">
        <v>371</v>
      </c>
      <c r="N729" t="s">
        <v>371</v>
      </c>
      <c r="O729" t="s">
        <v>371</v>
      </c>
      <c r="P729" t="s">
        <v>371</v>
      </c>
      <c r="Q729" t="s">
        <v>371</v>
      </c>
      <c r="R729" t="s">
        <v>372</v>
      </c>
      <c r="S729" t="s">
        <v>372</v>
      </c>
      <c r="T729" t="s">
        <v>367</v>
      </c>
      <c r="U729" t="s">
        <v>367</v>
      </c>
      <c r="W729" t="s">
        <v>367</v>
      </c>
      <c r="X729" t="s">
        <v>432</v>
      </c>
      <c r="Y729" t="s">
        <v>421</v>
      </c>
      <c r="Z729" t="s">
        <v>374</v>
      </c>
      <c r="AB729" s="73"/>
      <c r="AQ729" s="73"/>
      <c r="BG729" t="s">
        <v>371</v>
      </c>
      <c r="BH729" t="s">
        <v>371</v>
      </c>
      <c r="BI729" t="s">
        <v>371</v>
      </c>
      <c r="BJ729" t="s">
        <v>371</v>
      </c>
      <c r="BK729" t="s">
        <v>371</v>
      </c>
      <c r="BL729" t="s">
        <v>371</v>
      </c>
      <c r="BM729" t="s">
        <v>371</v>
      </c>
      <c r="BN729" t="s">
        <v>371</v>
      </c>
      <c r="BO729" t="s">
        <v>371</v>
      </c>
      <c r="BQ729" t="s">
        <v>375</v>
      </c>
      <c r="BR729" s="73"/>
      <c r="CX729" s="73"/>
      <c r="EQ729" s="73"/>
      <c r="FT729">
        <v>0</v>
      </c>
      <c r="FZ729" t="s">
        <v>371</v>
      </c>
      <c r="GA729" t="s">
        <v>371</v>
      </c>
      <c r="GB729" t="s">
        <v>371</v>
      </c>
      <c r="GC729" t="s">
        <v>371</v>
      </c>
      <c r="GD729" t="s">
        <v>371</v>
      </c>
      <c r="GF729" t="s">
        <v>371</v>
      </c>
      <c r="GG729" t="s">
        <v>371</v>
      </c>
      <c r="GH729" t="s">
        <v>371</v>
      </c>
      <c r="GI729" t="s">
        <v>371</v>
      </c>
      <c r="GJ729" t="s">
        <v>371</v>
      </c>
      <c r="GK729" t="s">
        <v>371</v>
      </c>
      <c r="GN729" t="s">
        <v>371</v>
      </c>
      <c r="GO729" t="s">
        <v>371</v>
      </c>
      <c r="GP729" t="s">
        <v>371</v>
      </c>
      <c r="GQ729" t="s">
        <v>371</v>
      </c>
      <c r="GR729" t="s">
        <v>371</v>
      </c>
      <c r="GS729" t="s">
        <v>371</v>
      </c>
      <c r="GT729" t="s">
        <v>371</v>
      </c>
      <c r="GU729" t="s">
        <v>371</v>
      </c>
      <c r="GV729" t="s">
        <v>371</v>
      </c>
      <c r="GW729" t="s">
        <v>371</v>
      </c>
      <c r="GX729" t="s">
        <v>371</v>
      </c>
      <c r="HA729" t="s">
        <v>375</v>
      </c>
    </row>
    <row r="730" spans="1:209" ht="14.25" customHeight="1" x14ac:dyDescent="0.25">
      <c r="A730" t="s">
        <v>771</v>
      </c>
      <c r="B730" t="s">
        <v>376</v>
      </c>
      <c r="C730">
        <v>1</v>
      </c>
      <c r="D730" t="s">
        <v>666</v>
      </c>
      <c r="E730" s="73"/>
      <c r="AA730" t="s">
        <v>377</v>
      </c>
      <c r="AB730" s="73">
        <v>46200</v>
      </c>
      <c r="AE730" t="s">
        <v>684</v>
      </c>
      <c r="AF730" t="s">
        <v>379</v>
      </c>
      <c r="AI730" t="s">
        <v>400</v>
      </c>
      <c r="AJ730">
        <v>1</v>
      </c>
      <c r="AK730" t="s">
        <v>372</v>
      </c>
      <c r="AP730" t="s">
        <v>374</v>
      </c>
      <c r="AQ730" s="73"/>
      <c r="BR730" s="73"/>
      <c r="CX730" s="73"/>
      <c r="EQ730" s="73"/>
    </row>
    <row r="731" spans="1:209" ht="14.25" customHeight="1" x14ac:dyDescent="0.25">
      <c r="A731" t="s">
        <v>771</v>
      </c>
      <c r="B731" t="s">
        <v>381</v>
      </c>
      <c r="C731">
        <v>1</v>
      </c>
      <c r="D731" t="s">
        <v>666</v>
      </c>
      <c r="E731" s="73"/>
      <c r="AB731" s="73"/>
      <c r="AQ731" s="73">
        <v>46200</v>
      </c>
      <c r="AT731" t="s">
        <v>680</v>
      </c>
      <c r="AU731" t="s">
        <v>385</v>
      </c>
      <c r="AV731" t="s">
        <v>383</v>
      </c>
      <c r="AW731" t="s">
        <v>383</v>
      </c>
      <c r="AX731" t="s">
        <v>385</v>
      </c>
      <c r="AY731" t="s">
        <v>383</v>
      </c>
      <c r="AZ731" t="s">
        <v>385</v>
      </c>
      <c r="BA731" t="s">
        <v>367</v>
      </c>
      <c r="BB731" t="s">
        <v>367</v>
      </c>
      <c r="BC731">
        <v>9</v>
      </c>
      <c r="BD731" t="s">
        <v>374</v>
      </c>
      <c r="BR731" s="73"/>
      <c r="CX731" s="73"/>
      <c r="EQ731" s="73"/>
    </row>
    <row r="732" spans="1:209" ht="14.25" customHeight="1" x14ac:dyDescent="0.25">
      <c r="A732" t="s">
        <v>772</v>
      </c>
      <c r="D732" t="s">
        <v>666</v>
      </c>
      <c r="E732" s="73">
        <v>46200</v>
      </c>
      <c r="H732" t="s">
        <v>403</v>
      </c>
      <c r="I732" t="s">
        <v>403</v>
      </c>
      <c r="J732">
        <v>2000</v>
      </c>
      <c r="K732" t="s">
        <v>448</v>
      </c>
      <c r="L732" t="s">
        <v>370</v>
      </c>
      <c r="M732" t="s">
        <v>371</v>
      </c>
      <c r="N732" t="s">
        <v>371</v>
      </c>
      <c r="O732" t="s">
        <v>371</v>
      </c>
      <c r="P732" t="s">
        <v>371</v>
      </c>
      <c r="Q732" t="s">
        <v>371</v>
      </c>
      <c r="R732" t="s">
        <v>372</v>
      </c>
      <c r="S732" t="s">
        <v>372</v>
      </c>
      <c r="T732" t="s">
        <v>372</v>
      </c>
      <c r="U732" t="s">
        <v>367</v>
      </c>
      <c r="W732" t="s">
        <v>367</v>
      </c>
      <c r="X732" t="s">
        <v>373</v>
      </c>
      <c r="Y732" t="s">
        <v>367</v>
      </c>
      <c r="Z732" t="s">
        <v>374</v>
      </c>
      <c r="AB732" s="73"/>
      <c r="AQ732" s="73"/>
      <c r="BG732" t="s">
        <v>371</v>
      </c>
      <c r="BH732" t="s">
        <v>371</v>
      </c>
      <c r="BI732" t="s">
        <v>371</v>
      </c>
      <c r="BJ732" t="s">
        <v>371</v>
      </c>
      <c r="BK732" t="s">
        <v>371</v>
      </c>
      <c r="BL732" t="s">
        <v>371</v>
      </c>
      <c r="BM732" t="s">
        <v>371</v>
      </c>
      <c r="BN732" t="s">
        <v>371</v>
      </c>
      <c r="BO732" t="s">
        <v>371</v>
      </c>
      <c r="BQ732" t="s">
        <v>375</v>
      </c>
      <c r="BR732" s="73"/>
      <c r="CX732" s="73"/>
      <c r="EQ732" s="73"/>
      <c r="FT732">
        <v>0</v>
      </c>
      <c r="FZ732" t="s">
        <v>371</v>
      </c>
      <c r="GA732" t="s">
        <v>371</v>
      </c>
      <c r="GB732" t="s">
        <v>371</v>
      </c>
      <c r="GC732" t="s">
        <v>371</v>
      </c>
      <c r="GD732" t="s">
        <v>371</v>
      </c>
      <c r="GF732" t="s">
        <v>371</v>
      </c>
      <c r="GG732" t="s">
        <v>371</v>
      </c>
      <c r="GH732" t="s">
        <v>371</v>
      </c>
      <c r="GI732" t="s">
        <v>371</v>
      </c>
      <c r="GJ732" t="s">
        <v>371</v>
      </c>
      <c r="GK732" t="s">
        <v>371</v>
      </c>
      <c r="GN732" t="s">
        <v>371</v>
      </c>
      <c r="GO732" t="s">
        <v>371</v>
      </c>
      <c r="GP732" t="s">
        <v>371</v>
      </c>
      <c r="GQ732" t="s">
        <v>371</v>
      </c>
      <c r="GR732" t="s">
        <v>371</v>
      </c>
      <c r="GS732" t="s">
        <v>371</v>
      </c>
      <c r="GT732" t="s">
        <v>371</v>
      </c>
      <c r="GU732" t="s">
        <v>371</v>
      </c>
      <c r="GV732" t="s">
        <v>371</v>
      </c>
      <c r="GW732" t="s">
        <v>371</v>
      </c>
      <c r="GX732" t="s">
        <v>371</v>
      </c>
      <c r="HA732" t="s">
        <v>375</v>
      </c>
    </row>
    <row r="733" spans="1:209" ht="14.25" customHeight="1" x14ac:dyDescent="0.25">
      <c r="A733" t="s">
        <v>772</v>
      </c>
      <c r="B733" t="s">
        <v>376</v>
      </c>
      <c r="C733">
        <v>1</v>
      </c>
      <c r="D733" t="s">
        <v>666</v>
      </c>
      <c r="E733" s="73"/>
      <c r="AA733" t="s">
        <v>377</v>
      </c>
      <c r="AB733" s="73">
        <v>46200</v>
      </c>
      <c r="AE733" t="s">
        <v>684</v>
      </c>
      <c r="AF733" t="s">
        <v>379</v>
      </c>
      <c r="AI733" t="s">
        <v>400</v>
      </c>
      <c r="AJ733">
        <v>1</v>
      </c>
      <c r="AK733" t="s">
        <v>372</v>
      </c>
      <c r="AP733" t="s">
        <v>374</v>
      </c>
      <c r="AQ733" s="73"/>
      <c r="BR733" s="73"/>
      <c r="CX733" s="73"/>
      <c r="EQ733" s="73"/>
    </row>
    <row r="734" spans="1:209" ht="14.25" customHeight="1" x14ac:dyDescent="0.25">
      <c r="A734" t="s">
        <v>772</v>
      </c>
      <c r="B734" t="s">
        <v>381</v>
      </c>
      <c r="C734">
        <v>1</v>
      </c>
      <c r="D734" t="s">
        <v>666</v>
      </c>
      <c r="E734" s="73"/>
      <c r="AB734" s="73"/>
      <c r="AQ734" s="73">
        <v>46200</v>
      </c>
      <c r="AT734" t="s">
        <v>680</v>
      </c>
      <c r="AU734" t="s">
        <v>385</v>
      </c>
      <c r="AV734" t="s">
        <v>404</v>
      </c>
      <c r="AW734" t="s">
        <v>383</v>
      </c>
      <c r="AX734" t="s">
        <v>383</v>
      </c>
      <c r="AY734" t="s">
        <v>385</v>
      </c>
      <c r="AZ734" t="s">
        <v>384</v>
      </c>
      <c r="BA734" t="s">
        <v>367</v>
      </c>
      <c r="BB734" t="s">
        <v>367</v>
      </c>
      <c r="BC734">
        <v>9</v>
      </c>
      <c r="BD734" t="s">
        <v>374</v>
      </c>
      <c r="BR734" s="73"/>
      <c r="CX734" s="73"/>
      <c r="EQ734" s="73"/>
    </row>
    <row r="735" spans="1:209" ht="14.25" customHeight="1" x14ac:dyDescent="0.25">
      <c r="A735" t="s">
        <v>773</v>
      </c>
      <c r="D735" t="s">
        <v>666</v>
      </c>
      <c r="E735" s="73">
        <v>46200</v>
      </c>
      <c r="H735" t="s">
        <v>403</v>
      </c>
      <c r="I735" t="s">
        <v>403</v>
      </c>
      <c r="J735">
        <v>1999</v>
      </c>
      <c r="K735" t="s">
        <v>448</v>
      </c>
      <c r="L735" t="s">
        <v>370</v>
      </c>
      <c r="M735" t="s">
        <v>371</v>
      </c>
      <c r="N735" t="s">
        <v>371</v>
      </c>
      <c r="O735" t="s">
        <v>371</v>
      </c>
      <c r="P735" t="s">
        <v>371</v>
      </c>
      <c r="Q735" t="s">
        <v>371</v>
      </c>
      <c r="R735" t="s">
        <v>372</v>
      </c>
      <c r="S735" t="s">
        <v>372</v>
      </c>
      <c r="T735" t="s">
        <v>367</v>
      </c>
      <c r="U735" t="s">
        <v>367</v>
      </c>
      <c r="W735" t="s">
        <v>367</v>
      </c>
      <c r="X735" t="s">
        <v>373</v>
      </c>
      <c r="Y735" t="s">
        <v>367</v>
      </c>
      <c r="Z735" t="s">
        <v>374</v>
      </c>
      <c r="AB735" s="73"/>
      <c r="AQ735" s="73"/>
      <c r="BG735" t="s">
        <v>371</v>
      </c>
      <c r="BH735" t="s">
        <v>371</v>
      </c>
      <c r="BI735" t="s">
        <v>371</v>
      </c>
      <c r="BJ735" t="s">
        <v>371</v>
      </c>
      <c r="BK735" t="s">
        <v>371</v>
      </c>
      <c r="BL735" t="s">
        <v>371</v>
      </c>
      <c r="BM735" t="s">
        <v>371</v>
      </c>
      <c r="BN735" t="s">
        <v>371</v>
      </c>
      <c r="BO735" t="s">
        <v>371</v>
      </c>
      <c r="BQ735" t="s">
        <v>375</v>
      </c>
      <c r="BR735" s="73"/>
      <c r="CX735" s="73"/>
      <c r="EQ735" s="73"/>
      <c r="FT735">
        <v>0</v>
      </c>
      <c r="FZ735" t="s">
        <v>371</v>
      </c>
      <c r="GA735" t="s">
        <v>371</v>
      </c>
      <c r="GB735" t="s">
        <v>371</v>
      </c>
      <c r="GC735" t="s">
        <v>371</v>
      </c>
      <c r="GD735" t="s">
        <v>371</v>
      </c>
      <c r="GF735" t="s">
        <v>371</v>
      </c>
      <c r="GG735" t="s">
        <v>371</v>
      </c>
      <c r="GH735" t="s">
        <v>371</v>
      </c>
      <c r="GI735" t="s">
        <v>371</v>
      </c>
      <c r="GJ735" t="s">
        <v>371</v>
      </c>
      <c r="GK735" t="s">
        <v>371</v>
      </c>
      <c r="GN735" t="s">
        <v>371</v>
      </c>
      <c r="GO735" t="s">
        <v>371</v>
      </c>
      <c r="GP735" t="s">
        <v>371</v>
      </c>
      <c r="GQ735" t="s">
        <v>371</v>
      </c>
      <c r="GR735" t="s">
        <v>371</v>
      </c>
      <c r="GS735" t="s">
        <v>371</v>
      </c>
      <c r="GT735" t="s">
        <v>371</v>
      </c>
      <c r="GU735" t="s">
        <v>371</v>
      </c>
      <c r="GV735" t="s">
        <v>371</v>
      </c>
      <c r="GW735" t="s">
        <v>371</v>
      </c>
      <c r="GX735" t="s">
        <v>371</v>
      </c>
      <c r="HA735" t="s">
        <v>375</v>
      </c>
    </row>
    <row r="736" spans="1:209" ht="14.25" customHeight="1" x14ac:dyDescent="0.25">
      <c r="A736" t="s">
        <v>773</v>
      </c>
      <c r="B736" t="s">
        <v>376</v>
      </c>
      <c r="C736">
        <v>1</v>
      </c>
      <c r="D736" t="s">
        <v>666</v>
      </c>
      <c r="E736" s="73"/>
      <c r="AA736" t="s">
        <v>377</v>
      </c>
      <c r="AB736" s="73">
        <v>46200</v>
      </c>
      <c r="AE736" t="s">
        <v>677</v>
      </c>
      <c r="AF736" t="s">
        <v>379</v>
      </c>
      <c r="AI736" t="s">
        <v>688</v>
      </c>
      <c r="AJ736">
        <v>0</v>
      </c>
      <c r="AK736" t="s">
        <v>372</v>
      </c>
      <c r="AP736" t="s">
        <v>374</v>
      </c>
      <c r="AQ736" s="73"/>
      <c r="BR736" s="73"/>
      <c r="CX736" s="73"/>
      <c r="EQ736" s="73"/>
    </row>
    <row r="737" spans="1:209" ht="14.25" customHeight="1" x14ac:dyDescent="0.25">
      <c r="A737" t="s">
        <v>774</v>
      </c>
      <c r="D737" t="s">
        <v>666</v>
      </c>
      <c r="E737" s="73">
        <v>46200</v>
      </c>
      <c r="H737" t="s">
        <v>403</v>
      </c>
      <c r="I737" t="s">
        <v>403</v>
      </c>
      <c r="J737">
        <v>2001</v>
      </c>
      <c r="K737" t="s">
        <v>448</v>
      </c>
      <c r="L737" t="s">
        <v>370</v>
      </c>
      <c r="M737" t="s">
        <v>371</v>
      </c>
      <c r="N737" t="s">
        <v>371</v>
      </c>
      <c r="O737" t="s">
        <v>371</v>
      </c>
      <c r="P737" t="s">
        <v>371</v>
      </c>
      <c r="Q737" t="s">
        <v>371</v>
      </c>
      <c r="R737" t="s">
        <v>372</v>
      </c>
      <c r="S737" t="s">
        <v>372</v>
      </c>
      <c r="T737" t="s">
        <v>367</v>
      </c>
      <c r="U737" t="s">
        <v>367</v>
      </c>
      <c r="W737" t="s">
        <v>367</v>
      </c>
      <c r="X737" t="s">
        <v>373</v>
      </c>
      <c r="Y737" t="s">
        <v>367</v>
      </c>
      <c r="Z737" t="s">
        <v>374</v>
      </c>
      <c r="AB737" s="73"/>
      <c r="AQ737" s="73"/>
      <c r="BG737" t="s">
        <v>371</v>
      </c>
      <c r="BH737" t="s">
        <v>371</v>
      </c>
      <c r="BI737" t="s">
        <v>371</v>
      </c>
      <c r="BJ737" t="s">
        <v>371</v>
      </c>
      <c r="BK737" t="s">
        <v>371</v>
      </c>
      <c r="BL737" t="s">
        <v>371</v>
      </c>
      <c r="BM737" t="s">
        <v>371</v>
      </c>
      <c r="BN737" t="s">
        <v>371</v>
      </c>
      <c r="BO737" t="s">
        <v>371</v>
      </c>
      <c r="BQ737" t="s">
        <v>375</v>
      </c>
      <c r="BR737" s="73"/>
      <c r="CX737" s="73"/>
      <c r="EQ737" s="73"/>
      <c r="FT737">
        <v>0</v>
      </c>
      <c r="FZ737" t="s">
        <v>371</v>
      </c>
      <c r="GA737" t="s">
        <v>371</v>
      </c>
      <c r="GB737" t="s">
        <v>371</v>
      </c>
      <c r="GC737" t="s">
        <v>371</v>
      </c>
      <c r="GD737" t="s">
        <v>371</v>
      </c>
      <c r="GF737" t="s">
        <v>371</v>
      </c>
      <c r="GG737" t="s">
        <v>371</v>
      </c>
      <c r="GH737" t="s">
        <v>371</v>
      </c>
      <c r="GI737" t="s">
        <v>371</v>
      </c>
      <c r="GJ737" t="s">
        <v>371</v>
      </c>
      <c r="GK737" t="s">
        <v>371</v>
      </c>
      <c r="GN737" t="s">
        <v>371</v>
      </c>
      <c r="GO737" t="s">
        <v>371</v>
      </c>
      <c r="GP737" t="s">
        <v>371</v>
      </c>
      <c r="GQ737" t="s">
        <v>371</v>
      </c>
      <c r="GR737" t="s">
        <v>371</v>
      </c>
      <c r="GS737" t="s">
        <v>371</v>
      </c>
      <c r="GT737" t="s">
        <v>371</v>
      </c>
      <c r="GU737" t="s">
        <v>371</v>
      </c>
      <c r="GV737" t="s">
        <v>371</v>
      </c>
      <c r="GW737" t="s">
        <v>371</v>
      </c>
      <c r="GX737" t="s">
        <v>371</v>
      </c>
      <c r="HA737" t="s">
        <v>375</v>
      </c>
    </row>
    <row r="738" spans="1:209" ht="14.25" customHeight="1" x14ac:dyDescent="0.25">
      <c r="A738" t="s">
        <v>774</v>
      </c>
      <c r="B738" t="s">
        <v>376</v>
      </c>
      <c r="C738">
        <v>1</v>
      </c>
      <c r="D738" t="s">
        <v>666</v>
      </c>
      <c r="E738" s="73"/>
      <c r="AA738" t="s">
        <v>377</v>
      </c>
      <c r="AB738" s="73">
        <v>46200</v>
      </c>
      <c r="AE738" t="s">
        <v>677</v>
      </c>
      <c r="AF738" t="s">
        <v>379</v>
      </c>
      <c r="AI738" t="s">
        <v>400</v>
      </c>
      <c r="AJ738">
        <v>0</v>
      </c>
      <c r="AK738" t="s">
        <v>372</v>
      </c>
      <c r="AP738" t="s">
        <v>374</v>
      </c>
      <c r="AQ738" s="73"/>
      <c r="BR738" s="73"/>
      <c r="CX738" s="73"/>
      <c r="EQ738" s="73"/>
    </row>
    <row r="739" spans="1:209" ht="14.25" customHeight="1" x14ac:dyDescent="0.25">
      <c r="A739" t="s">
        <v>774</v>
      </c>
      <c r="B739" t="s">
        <v>381</v>
      </c>
      <c r="C739">
        <v>1</v>
      </c>
      <c r="D739" t="s">
        <v>666</v>
      </c>
      <c r="E739" s="73"/>
      <c r="AB739" s="73"/>
      <c r="AQ739" s="73">
        <v>46200</v>
      </c>
      <c r="AT739" t="s">
        <v>670</v>
      </c>
      <c r="AU739" t="s">
        <v>385</v>
      </c>
      <c r="AV739" t="s">
        <v>404</v>
      </c>
      <c r="AW739" t="s">
        <v>384</v>
      </c>
      <c r="AX739" t="s">
        <v>385</v>
      </c>
      <c r="AY739" t="s">
        <v>383</v>
      </c>
      <c r="AZ739" t="s">
        <v>383</v>
      </c>
      <c r="BA739" t="s">
        <v>367</v>
      </c>
      <c r="BB739" t="s">
        <v>367</v>
      </c>
      <c r="BC739">
        <v>9</v>
      </c>
      <c r="BD739" t="s">
        <v>374</v>
      </c>
      <c r="BR739" s="73"/>
      <c r="CX739" s="73"/>
      <c r="EQ739" s="73"/>
    </row>
    <row r="740" spans="1:209" ht="14.25" customHeight="1" x14ac:dyDescent="0.25">
      <c r="A740" t="s">
        <v>775</v>
      </c>
      <c r="D740" t="s">
        <v>666</v>
      </c>
      <c r="E740" s="73">
        <v>46200</v>
      </c>
      <c r="H740" t="s">
        <v>403</v>
      </c>
      <c r="I740" t="s">
        <v>403</v>
      </c>
      <c r="J740">
        <v>1995</v>
      </c>
      <c r="K740" t="s">
        <v>448</v>
      </c>
      <c r="L740" t="s">
        <v>370</v>
      </c>
      <c r="M740" t="s">
        <v>371</v>
      </c>
      <c r="N740" t="s">
        <v>371</v>
      </c>
      <c r="O740" t="s">
        <v>371</v>
      </c>
      <c r="P740" t="s">
        <v>371</v>
      </c>
      <c r="Q740" t="s">
        <v>371</v>
      </c>
      <c r="R740" t="s">
        <v>372</v>
      </c>
      <c r="S740" t="s">
        <v>372</v>
      </c>
      <c r="T740" t="s">
        <v>372</v>
      </c>
      <c r="U740" t="s">
        <v>367</v>
      </c>
      <c r="W740" t="s">
        <v>367</v>
      </c>
      <c r="X740" t="s">
        <v>432</v>
      </c>
      <c r="Y740" t="s">
        <v>396</v>
      </c>
      <c r="Z740" t="s">
        <v>374</v>
      </c>
      <c r="AB740" s="73"/>
      <c r="AQ740" s="73"/>
      <c r="BG740" t="s">
        <v>371</v>
      </c>
      <c r="BH740" t="s">
        <v>371</v>
      </c>
      <c r="BI740" t="s">
        <v>371</v>
      </c>
      <c r="BJ740" t="s">
        <v>371</v>
      </c>
      <c r="BK740" t="s">
        <v>371</v>
      </c>
      <c r="BL740" t="s">
        <v>371</v>
      </c>
      <c r="BM740" t="s">
        <v>371</v>
      </c>
      <c r="BN740" t="s">
        <v>371</v>
      </c>
      <c r="BO740" t="s">
        <v>371</v>
      </c>
      <c r="BQ740" t="s">
        <v>375</v>
      </c>
      <c r="BR740" s="73"/>
      <c r="CX740" s="73"/>
      <c r="EQ740" s="73"/>
      <c r="FT740">
        <v>0</v>
      </c>
      <c r="FZ740" t="s">
        <v>371</v>
      </c>
      <c r="GA740" t="s">
        <v>371</v>
      </c>
      <c r="GB740" t="s">
        <v>371</v>
      </c>
      <c r="GC740" t="s">
        <v>371</v>
      </c>
      <c r="GD740" t="s">
        <v>371</v>
      </c>
      <c r="GF740" t="s">
        <v>371</v>
      </c>
      <c r="GG740" t="s">
        <v>371</v>
      </c>
      <c r="GH740" t="s">
        <v>371</v>
      </c>
      <c r="GI740" t="s">
        <v>371</v>
      </c>
      <c r="GJ740" t="s">
        <v>371</v>
      </c>
      <c r="GK740" t="s">
        <v>371</v>
      </c>
      <c r="GN740" t="s">
        <v>371</v>
      </c>
      <c r="GO740" t="s">
        <v>371</v>
      </c>
      <c r="GP740" t="s">
        <v>371</v>
      </c>
      <c r="GQ740" t="s">
        <v>371</v>
      </c>
      <c r="GR740" t="s">
        <v>371</v>
      </c>
      <c r="GS740" t="s">
        <v>371</v>
      </c>
      <c r="GT740" t="s">
        <v>371</v>
      </c>
      <c r="GU740" t="s">
        <v>371</v>
      </c>
      <c r="GV740" t="s">
        <v>371</v>
      </c>
      <c r="GW740" t="s">
        <v>371</v>
      </c>
      <c r="GX740" t="s">
        <v>371</v>
      </c>
      <c r="HA740" t="s">
        <v>375</v>
      </c>
    </row>
    <row r="741" spans="1:209" ht="14.25" customHeight="1" x14ac:dyDescent="0.25">
      <c r="A741" t="s">
        <v>775</v>
      </c>
      <c r="B741" t="s">
        <v>376</v>
      </c>
      <c r="C741">
        <v>1</v>
      </c>
      <c r="D741" t="s">
        <v>666</v>
      </c>
      <c r="E741" s="73"/>
      <c r="AA741" t="s">
        <v>377</v>
      </c>
      <c r="AB741" s="73">
        <v>46200</v>
      </c>
      <c r="AE741" t="s">
        <v>677</v>
      </c>
      <c r="AF741" t="s">
        <v>379</v>
      </c>
      <c r="AI741" t="s">
        <v>400</v>
      </c>
      <c r="AJ741">
        <v>0</v>
      </c>
      <c r="AK741" t="s">
        <v>372</v>
      </c>
      <c r="AP741" t="s">
        <v>374</v>
      </c>
      <c r="AQ741" s="73"/>
      <c r="BR741" s="73"/>
      <c r="CX741" s="73"/>
      <c r="EQ741" s="73"/>
    </row>
    <row r="742" spans="1:209" ht="14.25" customHeight="1" x14ac:dyDescent="0.25">
      <c r="A742" t="s">
        <v>775</v>
      </c>
      <c r="B742" t="s">
        <v>381</v>
      </c>
      <c r="C742">
        <v>1</v>
      </c>
      <c r="D742" t="s">
        <v>666</v>
      </c>
      <c r="E742" s="73"/>
      <c r="AB742" s="73"/>
      <c r="AQ742" s="73">
        <v>46200</v>
      </c>
      <c r="AT742" t="s">
        <v>670</v>
      </c>
      <c r="AU742" t="s">
        <v>385</v>
      </c>
      <c r="AV742" t="s">
        <v>383</v>
      </c>
      <c r="AW742" t="s">
        <v>383</v>
      </c>
      <c r="AX742" t="s">
        <v>404</v>
      </c>
      <c r="AY742" t="s">
        <v>384</v>
      </c>
      <c r="AZ742" t="s">
        <v>383</v>
      </c>
      <c r="BA742" t="s">
        <v>367</v>
      </c>
      <c r="BB742" t="s">
        <v>367</v>
      </c>
      <c r="BC742">
        <v>8</v>
      </c>
      <c r="BD742" t="s">
        <v>374</v>
      </c>
      <c r="BR742" s="73"/>
      <c r="CX742" s="73"/>
      <c r="EQ742" s="73"/>
    </row>
    <row r="743" spans="1:209" ht="14.25" customHeight="1" x14ac:dyDescent="0.25">
      <c r="A743" t="s">
        <v>776</v>
      </c>
      <c r="D743" t="s">
        <v>666</v>
      </c>
      <c r="E743" s="73">
        <v>46200</v>
      </c>
      <c r="H743" t="s">
        <v>403</v>
      </c>
      <c r="I743" t="s">
        <v>403</v>
      </c>
      <c r="J743">
        <v>1994</v>
      </c>
      <c r="K743" t="s">
        <v>448</v>
      </c>
      <c r="L743" t="s">
        <v>370</v>
      </c>
      <c r="M743" t="s">
        <v>371</v>
      </c>
      <c r="N743" t="s">
        <v>371</v>
      </c>
      <c r="O743" t="s">
        <v>371</v>
      </c>
      <c r="P743" t="s">
        <v>371</v>
      </c>
      <c r="Q743" t="s">
        <v>371</v>
      </c>
      <c r="R743" t="s">
        <v>372</v>
      </c>
      <c r="S743" t="s">
        <v>372</v>
      </c>
      <c r="T743" t="s">
        <v>372</v>
      </c>
      <c r="U743" t="s">
        <v>367</v>
      </c>
      <c r="W743" t="s">
        <v>367</v>
      </c>
      <c r="X743" t="s">
        <v>392</v>
      </c>
      <c r="Y743" t="s">
        <v>396</v>
      </c>
      <c r="Z743" t="s">
        <v>374</v>
      </c>
      <c r="AB743" s="73"/>
      <c r="AQ743" s="73"/>
      <c r="BG743" t="s">
        <v>371</v>
      </c>
      <c r="BH743" t="s">
        <v>371</v>
      </c>
      <c r="BI743" t="s">
        <v>371</v>
      </c>
      <c r="BJ743" t="s">
        <v>371</v>
      </c>
      <c r="BK743" t="s">
        <v>371</v>
      </c>
      <c r="BL743" t="s">
        <v>371</v>
      </c>
      <c r="BM743" t="s">
        <v>371</v>
      </c>
      <c r="BN743" t="s">
        <v>371</v>
      </c>
      <c r="BO743" t="s">
        <v>371</v>
      </c>
      <c r="BQ743" t="s">
        <v>375</v>
      </c>
      <c r="BR743" s="73"/>
      <c r="CX743" s="73"/>
      <c r="EQ743" s="73"/>
      <c r="FT743">
        <v>0</v>
      </c>
      <c r="FZ743" t="s">
        <v>371</v>
      </c>
      <c r="GA743" t="s">
        <v>371</v>
      </c>
      <c r="GB743" t="s">
        <v>371</v>
      </c>
      <c r="GC743" t="s">
        <v>371</v>
      </c>
      <c r="GD743" t="s">
        <v>371</v>
      </c>
      <c r="GF743" t="s">
        <v>371</v>
      </c>
      <c r="GG743" t="s">
        <v>371</v>
      </c>
      <c r="GH743" t="s">
        <v>371</v>
      </c>
      <c r="GI743" t="s">
        <v>371</v>
      </c>
      <c r="GJ743" t="s">
        <v>371</v>
      </c>
      <c r="GK743" t="s">
        <v>371</v>
      </c>
      <c r="GN743" t="s">
        <v>371</v>
      </c>
      <c r="GO743" t="s">
        <v>371</v>
      </c>
      <c r="GP743" t="s">
        <v>371</v>
      </c>
      <c r="GQ743" t="s">
        <v>371</v>
      </c>
      <c r="GR743" t="s">
        <v>371</v>
      </c>
      <c r="GS743" t="s">
        <v>371</v>
      </c>
      <c r="GT743" t="s">
        <v>371</v>
      </c>
      <c r="GU743" t="s">
        <v>371</v>
      </c>
      <c r="GV743" t="s">
        <v>371</v>
      </c>
      <c r="GW743" t="s">
        <v>371</v>
      </c>
      <c r="GX743" t="s">
        <v>371</v>
      </c>
      <c r="HA743" t="s">
        <v>375</v>
      </c>
    </row>
    <row r="744" spans="1:209" ht="14.25" customHeight="1" x14ac:dyDescent="0.25">
      <c r="A744" t="s">
        <v>776</v>
      </c>
      <c r="B744" t="s">
        <v>376</v>
      </c>
      <c r="C744">
        <v>1</v>
      </c>
      <c r="D744" t="s">
        <v>666</v>
      </c>
      <c r="E744" s="73"/>
      <c r="AA744" t="s">
        <v>377</v>
      </c>
      <c r="AB744" s="73">
        <v>46200</v>
      </c>
      <c r="AE744" t="s">
        <v>677</v>
      </c>
      <c r="AF744" t="s">
        <v>379</v>
      </c>
      <c r="AI744" t="s">
        <v>400</v>
      </c>
      <c r="AJ744">
        <v>0</v>
      </c>
      <c r="AK744" t="s">
        <v>372</v>
      </c>
      <c r="AP744" t="s">
        <v>374</v>
      </c>
      <c r="AQ744" s="73"/>
      <c r="BR744" s="73"/>
      <c r="CX744" s="73"/>
      <c r="EQ744" s="73"/>
    </row>
    <row r="745" spans="1:209" ht="14.25" customHeight="1" x14ac:dyDescent="0.25">
      <c r="A745" t="s">
        <v>777</v>
      </c>
      <c r="D745" t="s">
        <v>666</v>
      </c>
      <c r="E745" s="73">
        <v>46200</v>
      </c>
      <c r="H745" t="s">
        <v>368</v>
      </c>
      <c r="I745" t="s">
        <v>368</v>
      </c>
      <c r="J745">
        <v>2000</v>
      </c>
      <c r="K745" t="s">
        <v>561</v>
      </c>
      <c r="L745" t="s">
        <v>370</v>
      </c>
      <c r="M745" t="s">
        <v>371</v>
      </c>
      <c r="N745" t="s">
        <v>371</v>
      </c>
      <c r="O745" t="s">
        <v>371</v>
      </c>
      <c r="P745" t="s">
        <v>371</v>
      </c>
      <c r="Q745" t="s">
        <v>371</v>
      </c>
      <c r="R745" t="s">
        <v>372</v>
      </c>
      <c r="S745" t="s">
        <v>372</v>
      </c>
      <c r="T745" t="s">
        <v>372</v>
      </c>
      <c r="U745" t="s">
        <v>367</v>
      </c>
      <c r="W745" t="s">
        <v>367</v>
      </c>
      <c r="X745" t="s">
        <v>373</v>
      </c>
      <c r="Y745" t="s">
        <v>367</v>
      </c>
      <c r="Z745" t="s">
        <v>374</v>
      </c>
      <c r="AB745" s="73"/>
      <c r="AQ745" s="73"/>
      <c r="BG745" t="s">
        <v>371</v>
      </c>
      <c r="BH745" t="s">
        <v>371</v>
      </c>
      <c r="BI745" t="s">
        <v>371</v>
      </c>
      <c r="BJ745" t="s">
        <v>371</v>
      </c>
      <c r="BK745" t="s">
        <v>371</v>
      </c>
      <c r="BL745" t="s">
        <v>371</v>
      </c>
      <c r="BM745" t="s">
        <v>371</v>
      </c>
      <c r="BN745" t="s">
        <v>371</v>
      </c>
      <c r="BO745" t="s">
        <v>371</v>
      </c>
      <c r="BQ745" t="s">
        <v>375</v>
      </c>
      <c r="BR745" s="73"/>
      <c r="CX745" s="73"/>
      <c r="EQ745" s="73"/>
      <c r="FT745">
        <v>0</v>
      </c>
      <c r="FZ745" t="s">
        <v>371</v>
      </c>
      <c r="GA745" t="s">
        <v>371</v>
      </c>
      <c r="GB745" t="s">
        <v>371</v>
      </c>
      <c r="GC745" t="s">
        <v>371</v>
      </c>
      <c r="GD745" t="s">
        <v>371</v>
      </c>
      <c r="GF745" t="s">
        <v>371</v>
      </c>
      <c r="GG745" t="s">
        <v>371</v>
      </c>
      <c r="GH745" t="s">
        <v>371</v>
      </c>
      <c r="GI745" t="s">
        <v>371</v>
      </c>
      <c r="GJ745" t="s">
        <v>371</v>
      </c>
      <c r="GK745" t="s">
        <v>371</v>
      </c>
      <c r="GN745" t="s">
        <v>371</v>
      </c>
      <c r="GO745" t="s">
        <v>371</v>
      </c>
      <c r="GP745" t="s">
        <v>371</v>
      </c>
      <c r="GQ745" t="s">
        <v>371</v>
      </c>
      <c r="GR745" t="s">
        <v>371</v>
      </c>
      <c r="GS745" t="s">
        <v>371</v>
      </c>
      <c r="GT745" t="s">
        <v>371</v>
      </c>
      <c r="GU745" t="s">
        <v>371</v>
      </c>
      <c r="GV745" t="s">
        <v>371</v>
      </c>
      <c r="GW745" t="s">
        <v>371</v>
      </c>
      <c r="GX745" t="s">
        <v>371</v>
      </c>
      <c r="HA745" t="s">
        <v>375</v>
      </c>
    </row>
    <row r="746" spans="1:209" ht="14.25" customHeight="1" x14ac:dyDescent="0.25">
      <c r="A746" t="s">
        <v>777</v>
      </c>
      <c r="B746" t="s">
        <v>381</v>
      </c>
      <c r="C746">
        <v>1</v>
      </c>
      <c r="D746" t="s">
        <v>666</v>
      </c>
      <c r="E746" s="73"/>
      <c r="AB746" s="73"/>
      <c r="AQ746" s="73">
        <v>46200</v>
      </c>
      <c r="AT746" t="s">
        <v>670</v>
      </c>
      <c r="AU746" t="s">
        <v>383</v>
      </c>
      <c r="AV746" t="s">
        <v>404</v>
      </c>
      <c r="AW746" t="s">
        <v>385</v>
      </c>
      <c r="AX746" t="s">
        <v>383</v>
      </c>
      <c r="AY746" t="s">
        <v>384</v>
      </c>
      <c r="AZ746" t="s">
        <v>383</v>
      </c>
      <c r="BA746" t="s">
        <v>367</v>
      </c>
      <c r="BB746" t="s">
        <v>367</v>
      </c>
      <c r="BC746">
        <v>8</v>
      </c>
      <c r="BD746" t="s">
        <v>374</v>
      </c>
      <c r="BR746" s="73"/>
      <c r="CX746" s="73"/>
      <c r="EQ746" s="73"/>
    </row>
    <row r="747" spans="1:209" ht="14.25" customHeight="1" x14ac:dyDescent="0.25">
      <c r="A747" t="s">
        <v>778</v>
      </c>
      <c r="D747" t="s">
        <v>666</v>
      </c>
      <c r="E747" s="73">
        <v>46200</v>
      </c>
      <c r="H747" t="s">
        <v>403</v>
      </c>
      <c r="I747" t="s">
        <v>403</v>
      </c>
      <c r="J747">
        <v>2002</v>
      </c>
      <c r="K747" t="s">
        <v>448</v>
      </c>
      <c r="L747" t="s">
        <v>370</v>
      </c>
      <c r="M747" t="s">
        <v>371</v>
      </c>
      <c r="N747" t="s">
        <v>371</v>
      </c>
      <c r="O747" t="s">
        <v>371</v>
      </c>
      <c r="P747" t="s">
        <v>371</v>
      </c>
      <c r="Q747" t="s">
        <v>371</v>
      </c>
      <c r="R747" t="s">
        <v>372</v>
      </c>
      <c r="S747" t="s">
        <v>372</v>
      </c>
      <c r="T747" t="s">
        <v>367</v>
      </c>
      <c r="U747" t="s">
        <v>367</v>
      </c>
      <c r="W747" t="s">
        <v>367</v>
      </c>
      <c r="X747" t="s">
        <v>373</v>
      </c>
      <c r="Y747" t="s">
        <v>367</v>
      </c>
      <c r="Z747" t="s">
        <v>374</v>
      </c>
      <c r="AB747" s="73"/>
      <c r="AQ747" s="73"/>
      <c r="BG747" t="s">
        <v>371</v>
      </c>
      <c r="BH747" t="s">
        <v>371</v>
      </c>
      <c r="BI747" t="s">
        <v>371</v>
      </c>
      <c r="BJ747" t="s">
        <v>371</v>
      </c>
      <c r="BK747" t="s">
        <v>371</v>
      </c>
      <c r="BL747" t="s">
        <v>371</v>
      </c>
      <c r="BM747" t="s">
        <v>371</v>
      </c>
      <c r="BN747" t="s">
        <v>371</v>
      </c>
      <c r="BO747" t="s">
        <v>371</v>
      </c>
      <c r="BQ747" t="s">
        <v>375</v>
      </c>
      <c r="BR747" s="73"/>
      <c r="CX747" s="73"/>
      <c r="EQ747" s="73"/>
      <c r="FT747">
        <v>0</v>
      </c>
      <c r="FZ747" t="s">
        <v>371</v>
      </c>
      <c r="GA747" t="s">
        <v>371</v>
      </c>
      <c r="GB747" t="s">
        <v>371</v>
      </c>
      <c r="GC747" t="s">
        <v>371</v>
      </c>
      <c r="GD747" t="s">
        <v>371</v>
      </c>
      <c r="GF747" t="s">
        <v>371</v>
      </c>
      <c r="GG747" t="s">
        <v>371</v>
      </c>
      <c r="GH747" t="s">
        <v>371</v>
      </c>
      <c r="GI747" t="s">
        <v>371</v>
      </c>
      <c r="GJ747" t="s">
        <v>371</v>
      </c>
      <c r="GK747" t="s">
        <v>371</v>
      </c>
      <c r="GN747" t="s">
        <v>371</v>
      </c>
      <c r="GO747" t="s">
        <v>371</v>
      </c>
      <c r="GP747" t="s">
        <v>371</v>
      </c>
      <c r="GQ747" t="s">
        <v>371</v>
      </c>
      <c r="GR747" t="s">
        <v>371</v>
      </c>
      <c r="GS747" t="s">
        <v>371</v>
      </c>
      <c r="GT747" t="s">
        <v>371</v>
      </c>
      <c r="GU747" t="s">
        <v>371</v>
      </c>
      <c r="GV747" t="s">
        <v>371</v>
      </c>
      <c r="GW747" t="s">
        <v>371</v>
      </c>
      <c r="GX747" t="s">
        <v>371</v>
      </c>
      <c r="HA747" t="s">
        <v>375</v>
      </c>
    </row>
    <row r="748" spans="1:209" ht="14.25" customHeight="1" x14ac:dyDescent="0.25">
      <c r="A748" t="s">
        <v>778</v>
      </c>
      <c r="B748" t="s">
        <v>376</v>
      </c>
      <c r="C748">
        <v>1</v>
      </c>
      <c r="D748" t="s">
        <v>666</v>
      </c>
      <c r="E748" s="73"/>
      <c r="AA748" t="s">
        <v>377</v>
      </c>
      <c r="AB748" s="73">
        <v>46200</v>
      </c>
      <c r="AE748" t="s">
        <v>677</v>
      </c>
      <c r="AF748" t="s">
        <v>379</v>
      </c>
      <c r="AI748" t="s">
        <v>400</v>
      </c>
      <c r="AJ748">
        <v>0</v>
      </c>
      <c r="AK748" t="s">
        <v>372</v>
      </c>
      <c r="AP748" t="s">
        <v>374</v>
      </c>
      <c r="AQ748" s="73"/>
      <c r="BR748" s="73"/>
      <c r="CX748" s="73"/>
      <c r="EQ748" s="73"/>
    </row>
    <row r="749" spans="1:209" ht="14.25" customHeight="1" x14ac:dyDescent="0.25">
      <c r="A749" t="s">
        <v>778</v>
      </c>
      <c r="B749" t="s">
        <v>381</v>
      </c>
      <c r="C749">
        <v>1</v>
      </c>
      <c r="D749" t="s">
        <v>666</v>
      </c>
      <c r="E749" s="73"/>
      <c r="AB749" s="73"/>
      <c r="AQ749" s="73">
        <v>46200</v>
      </c>
      <c r="AT749" t="s">
        <v>670</v>
      </c>
      <c r="AU749" t="s">
        <v>383</v>
      </c>
      <c r="AV749" t="s">
        <v>385</v>
      </c>
      <c r="AW749" t="s">
        <v>383</v>
      </c>
      <c r="AX749" t="s">
        <v>385</v>
      </c>
      <c r="AY749" t="s">
        <v>384</v>
      </c>
      <c r="AZ749" t="s">
        <v>404</v>
      </c>
      <c r="BA749" t="s">
        <v>367</v>
      </c>
      <c r="BB749" t="s">
        <v>367</v>
      </c>
      <c r="BC749">
        <v>9</v>
      </c>
      <c r="BD749" t="s">
        <v>374</v>
      </c>
      <c r="BR749" s="73"/>
      <c r="CX749" s="73"/>
      <c r="EQ749" s="73"/>
    </row>
    <row r="750" spans="1:209" ht="14.25" customHeight="1" x14ac:dyDescent="0.25">
      <c r="A750" t="s">
        <v>779</v>
      </c>
      <c r="D750" t="s">
        <v>666</v>
      </c>
      <c r="E750" s="73">
        <v>46200</v>
      </c>
      <c r="H750" t="s">
        <v>403</v>
      </c>
      <c r="I750" t="s">
        <v>403</v>
      </c>
      <c r="J750">
        <v>2001</v>
      </c>
      <c r="K750" t="s">
        <v>448</v>
      </c>
      <c r="L750" t="s">
        <v>370</v>
      </c>
      <c r="M750" t="s">
        <v>371</v>
      </c>
      <c r="N750" t="s">
        <v>371</v>
      </c>
      <c r="O750" t="s">
        <v>371</v>
      </c>
      <c r="P750" t="s">
        <v>371</v>
      </c>
      <c r="Q750" t="s">
        <v>371</v>
      </c>
      <c r="R750" t="s">
        <v>372</v>
      </c>
      <c r="S750" t="s">
        <v>372</v>
      </c>
      <c r="T750" t="s">
        <v>367</v>
      </c>
      <c r="U750" t="s">
        <v>367</v>
      </c>
      <c r="W750" t="s">
        <v>367</v>
      </c>
      <c r="X750" t="s">
        <v>373</v>
      </c>
      <c r="Y750" t="s">
        <v>367</v>
      </c>
      <c r="Z750" t="s">
        <v>374</v>
      </c>
      <c r="AB750" s="73"/>
      <c r="AQ750" s="73"/>
      <c r="BG750" t="s">
        <v>371</v>
      </c>
      <c r="BH750" t="s">
        <v>371</v>
      </c>
      <c r="BI750" t="s">
        <v>371</v>
      </c>
      <c r="BJ750" t="s">
        <v>371</v>
      </c>
      <c r="BK750" t="s">
        <v>371</v>
      </c>
      <c r="BL750" t="s">
        <v>371</v>
      </c>
      <c r="BM750" t="s">
        <v>371</v>
      </c>
      <c r="BN750" t="s">
        <v>371</v>
      </c>
      <c r="BO750" t="s">
        <v>371</v>
      </c>
      <c r="BQ750" t="s">
        <v>375</v>
      </c>
      <c r="BR750" s="73"/>
      <c r="CX750" s="73"/>
      <c r="EQ750" s="73"/>
      <c r="FT750">
        <v>0</v>
      </c>
      <c r="FZ750" t="s">
        <v>371</v>
      </c>
      <c r="GA750" t="s">
        <v>371</v>
      </c>
      <c r="GB750" t="s">
        <v>371</v>
      </c>
      <c r="GC750" t="s">
        <v>371</v>
      </c>
      <c r="GD750" t="s">
        <v>371</v>
      </c>
      <c r="GF750" t="s">
        <v>371</v>
      </c>
      <c r="GG750" t="s">
        <v>371</v>
      </c>
      <c r="GH750" t="s">
        <v>371</v>
      </c>
      <c r="GI750" t="s">
        <v>371</v>
      </c>
      <c r="GJ750" t="s">
        <v>371</v>
      </c>
      <c r="GK750" t="s">
        <v>371</v>
      </c>
      <c r="GN750" t="s">
        <v>371</v>
      </c>
      <c r="GO750" t="s">
        <v>371</v>
      </c>
      <c r="GP750" t="s">
        <v>371</v>
      </c>
      <c r="GQ750" t="s">
        <v>371</v>
      </c>
      <c r="GR750" t="s">
        <v>371</v>
      </c>
      <c r="GS750" t="s">
        <v>371</v>
      </c>
      <c r="GT750" t="s">
        <v>371</v>
      </c>
      <c r="GU750" t="s">
        <v>371</v>
      </c>
      <c r="GV750" t="s">
        <v>371</v>
      </c>
      <c r="GW750" t="s">
        <v>371</v>
      </c>
      <c r="GX750" t="s">
        <v>371</v>
      </c>
      <c r="HA750" t="s">
        <v>375</v>
      </c>
    </row>
    <row r="751" spans="1:209" ht="14.25" customHeight="1" x14ac:dyDescent="0.25">
      <c r="A751" t="s">
        <v>779</v>
      </c>
      <c r="B751" t="s">
        <v>376</v>
      </c>
      <c r="C751">
        <v>1</v>
      </c>
      <c r="D751" t="s">
        <v>666</v>
      </c>
      <c r="E751" s="73"/>
      <c r="AA751" t="s">
        <v>377</v>
      </c>
      <c r="AB751" s="73">
        <v>46200</v>
      </c>
      <c r="AE751" t="s">
        <v>677</v>
      </c>
      <c r="AF751" t="s">
        <v>379</v>
      </c>
      <c r="AI751" t="s">
        <v>400</v>
      </c>
      <c r="AJ751">
        <v>0</v>
      </c>
      <c r="AK751" t="s">
        <v>372</v>
      </c>
      <c r="AP751" t="s">
        <v>374</v>
      </c>
      <c r="AQ751" s="73"/>
      <c r="BR751" s="73"/>
      <c r="CX751" s="73"/>
      <c r="EQ751" s="73"/>
    </row>
    <row r="752" spans="1:209" ht="14.25" customHeight="1" x14ac:dyDescent="0.25">
      <c r="A752" t="s">
        <v>780</v>
      </c>
      <c r="D752" t="s">
        <v>666</v>
      </c>
      <c r="E752" s="73">
        <v>46200</v>
      </c>
      <c r="H752" t="s">
        <v>368</v>
      </c>
      <c r="I752" t="s">
        <v>368</v>
      </c>
      <c r="J752">
        <v>1990</v>
      </c>
      <c r="K752" t="s">
        <v>561</v>
      </c>
      <c r="L752" t="s">
        <v>370</v>
      </c>
      <c r="M752" t="s">
        <v>371</v>
      </c>
      <c r="N752" t="s">
        <v>371</v>
      </c>
      <c r="O752" t="s">
        <v>371</v>
      </c>
      <c r="P752" t="s">
        <v>371</v>
      </c>
      <c r="Q752" t="s">
        <v>371</v>
      </c>
      <c r="R752" t="s">
        <v>372</v>
      </c>
      <c r="S752" t="s">
        <v>372</v>
      </c>
      <c r="T752" t="s">
        <v>372</v>
      </c>
      <c r="U752" t="s">
        <v>367</v>
      </c>
      <c r="W752" t="s">
        <v>367</v>
      </c>
      <c r="X752" t="s">
        <v>373</v>
      </c>
      <c r="Y752" t="s">
        <v>367</v>
      </c>
      <c r="Z752" t="s">
        <v>374</v>
      </c>
      <c r="AB752" s="73"/>
      <c r="AQ752" s="73"/>
      <c r="BG752" t="s">
        <v>371</v>
      </c>
      <c r="BH752" t="s">
        <v>371</v>
      </c>
      <c r="BI752" t="s">
        <v>371</v>
      </c>
      <c r="BJ752" t="s">
        <v>371</v>
      </c>
      <c r="BK752" t="s">
        <v>371</v>
      </c>
      <c r="BL752" t="s">
        <v>371</v>
      </c>
      <c r="BM752" t="s">
        <v>371</v>
      </c>
      <c r="BN752" t="s">
        <v>371</v>
      </c>
      <c r="BO752" t="s">
        <v>371</v>
      </c>
      <c r="BQ752" t="s">
        <v>375</v>
      </c>
      <c r="BR752" s="73"/>
      <c r="CX752" s="73"/>
      <c r="EQ752" s="73"/>
      <c r="FT752">
        <v>0</v>
      </c>
      <c r="FZ752" t="s">
        <v>371</v>
      </c>
      <c r="GA752" t="s">
        <v>371</v>
      </c>
      <c r="GB752" t="s">
        <v>371</v>
      </c>
      <c r="GC752" t="s">
        <v>371</v>
      </c>
      <c r="GD752" t="s">
        <v>371</v>
      </c>
      <c r="GF752" t="s">
        <v>371</v>
      </c>
      <c r="GG752" t="s">
        <v>371</v>
      </c>
      <c r="GH752" t="s">
        <v>371</v>
      </c>
      <c r="GI752" t="s">
        <v>371</v>
      </c>
      <c r="GJ752" t="s">
        <v>371</v>
      </c>
      <c r="GK752" t="s">
        <v>371</v>
      </c>
      <c r="GN752" t="s">
        <v>371</v>
      </c>
      <c r="GO752" t="s">
        <v>371</v>
      </c>
      <c r="GP752" t="s">
        <v>371</v>
      </c>
      <c r="GQ752" t="s">
        <v>371</v>
      </c>
      <c r="GR752" t="s">
        <v>371</v>
      </c>
      <c r="GS752" t="s">
        <v>371</v>
      </c>
      <c r="GT752" t="s">
        <v>371</v>
      </c>
      <c r="GU752" t="s">
        <v>371</v>
      </c>
      <c r="GV752" t="s">
        <v>371</v>
      </c>
      <c r="GW752" t="s">
        <v>371</v>
      </c>
      <c r="GX752" t="s">
        <v>371</v>
      </c>
      <c r="HA752" t="s">
        <v>375</v>
      </c>
    </row>
    <row r="753" spans="1:209" ht="14.25" customHeight="1" x14ac:dyDescent="0.25">
      <c r="A753" t="s">
        <v>780</v>
      </c>
      <c r="B753" t="s">
        <v>376</v>
      </c>
      <c r="C753">
        <v>1</v>
      </c>
      <c r="D753" t="s">
        <v>666</v>
      </c>
      <c r="E753" s="73"/>
      <c r="AA753" t="s">
        <v>377</v>
      </c>
      <c r="AB753" s="73">
        <v>46200</v>
      </c>
      <c r="AE753" t="s">
        <v>684</v>
      </c>
      <c r="AF753" t="s">
        <v>379</v>
      </c>
      <c r="AI753" t="s">
        <v>688</v>
      </c>
      <c r="AJ753">
        <v>0</v>
      </c>
      <c r="AK753" t="s">
        <v>372</v>
      </c>
      <c r="AP753" t="s">
        <v>374</v>
      </c>
      <c r="AQ753" s="73"/>
      <c r="BR753" s="73"/>
      <c r="CX753" s="73"/>
      <c r="EQ753" s="73"/>
    </row>
    <row r="754" spans="1:209" ht="14.25" customHeight="1" x14ac:dyDescent="0.25">
      <c r="A754" t="s">
        <v>780</v>
      </c>
      <c r="B754" t="s">
        <v>381</v>
      </c>
      <c r="C754">
        <v>1</v>
      </c>
      <c r="D754" t="s">
        <v>666</v>
      </c>
      <c r="E754" s="73"/>
      <c r="AB754" s="73"/>
      <c r="AQ754" s="73">
        <v>46200</v>
      </c>
      <c r="AT754" t="s">
        <v>670</v>
      </c>
      <c r="AU754" t="s">
        <v>383</v>
      </c>
      <c r="AV754" t="s">
        <v>383</v>
      </c>
      <c r="AW754" t="s">
        <v>404</v>
      </c>
      <c r="AX754" t="s">
        <v>385</v>
      </c>
      <c r="AY754" t="s">
        <v>384</v>
      </c>
      <c r="AZ754" t="s">
        <v>385</v>
      </c>
      <c r="BA754" t="s">
        <v>367</v>
      </c>
      <c r="BB754" t="s">
        <v>367</v>
      </c>
      <c r="BC754">
        <v>9</v>
      </c>
      <c r="BD754" t="s">
        <v>374</v>
      </c>
      <c r="BR754" s="73"/>
      <c r="CX754" s="73"/>
      <c r="EQ754" s="73"/>
    </row>
    <row r="755" spans="1:209" ht="14.25" customHeight="1" x14ac:dyDescent="0.25">
      <c r="A755" t="s">
        <v>781</v>
      </c>
      <c r="D755" t="s">
        <v>666</v>
      </c>
      <c r="E755" s="73">
        <v>46200</v>
      </c>
      <c r="H755" t="s">
        <v>368</v>
      </c>
      <c r="I755" t="s">
        <v>368</v>
      </c>
      <c r="J755">
        <v>1991</v>
      </c>
      <c r="K755" t="s">
        <v>561</v>
      </c>
      <c r="L755" t="s">
        <v>370</v>
      </c>
      <c r="M755" t="s">
        <v>371</v>
      </c>
      <c r="N755" t="s">
        <v>371</v>
      </c>
      <c r="O755" t="s">
        <v>371</v>
      </c>
      <c r="P755" t="s">
        <v>371</v>
      </c>
      <c r="Q755" t="s">
        <v>371</v>
      </c>
      <c r="R755" t="s">
        <v>372</v>
      </c>
      <c r="S755" t="s">
        <v>372</v>
      </c>
      <c r="T755" t="s">
        <v>372</v>
      </c>
      <c r="U755" t="s">
        <v>367</v>
      </c>
      <c r="W755" t="s">
        <v>367</v>
      </c>
      <c r="X755" t="s">
        <v>373</v>
      </c>
      <c r="Y755" t="s">
        <v>367</v>
      </c>
      <c r="Z755" t="s">
        <v>374</v>
      </c>
      <c r="AB755" s="73"/>
      <c r="AQ755" s="73"/>
      <c r="BG755" t="s">
        <v>371</v>
      </c>
      <c r="BH755" t="s">
        <v>371</v>
      </c>
      <c r="BI755" t="s">
        <v>371</v>
      </c>
      <c r="BJ755" t="s">
        <v>371</v>
      </c>
      <c r="BK755" t="s">
        <v>371</v>
      </c>
      <c r="BL755" t="s">
        <v>371</v>
      </c>
      <c r="BM755" t="s">
        <v>371</v>
      </c>
      <c r="BN755" t="s">
        <v>371</v>
      </c>
      <c r="BO755" t="s">
        <v>371</v>
      </c>
      <c r="BQ755" t="s">
        <v>375</v>
      </c>
      <c r="BR755" s="73"/>
      <c r="CX755" s="73"/>
      <c r="EQ755" s="73"/>
      <c r="FT755">
        <v>0</v>
      </c>
      <c r="FZ755" t="s">
        <v>371</v>
      </c>
      <c r="GA755" t="s">
        <v>371</v>
      </c>
      <c r="GB755" t="s">
        <v>371</v>
      </c>
      <c r="GC755" t="s">
        <v>371</v>
      </c>
      <c r="GD755" t="s">
        <v>371</v>
      </c>
      <c r="GF755" t="s">
        <v>371</v>
      </c>
      <c r="GG755" t="s">
        <v>371</v>
      </c>
      <c r="GH755" t="s">
        <v>371</v>
      </c>
      <c r="GI755" t="s">
        <v>371</v>
      </c>
      <c r="GJ755" t="s">
        <v>371</v>
      </c>
      <c r="GK755" t="s">
        <v>371</v>
      </c>
      <c r="GN755" t="s">
        <v>371</v>
      </c>
      <c r="GO755" t="s">
        <v>371</v>
      </c>
      <c r="GP755" t="s">
        <v>371</v>
      </c>
      <c r="GQ755" t="s">
        <v>371</v>
      </c>
      <c r="GR755" t="s">
        <v>371</v>
      </c>
      <c r="GS755" t="s">
        <v>371</v>
      </c>
      <c r="GT755" t="s">
        <v>371</v>
      </c>
      <c r="GU755" t="s">
        <v>371</v>
      </c>
      <c r="GV755" t="s">
        <v>371</v>
      </c>
      <c r="GW755" t="s">
        <v>371</v>
      </c>
      <c r="GX755" t="s">
        <v>371</v>
      </c>
      <c r="HA755" t="s">
        <v>375</v>
      </c>
    </row>
    <row r="756" spans="1:209" ht="14.25" customHeight="1" x14ac:dyDescent="0.25">
      <c r="A756" t="s">
        <v>781</v>
      </c>
      <c r="B756" t="s">
        <v>376</v>
      </c>
      <c r="C756">
        <v>1</v>
      </c>
      <c r="D756" t="s">
        <v>666</v>
      </c>
      <c r="E756" s="73"/>
      <c r="AA756" t="s">
        <v>377</v>
      </c>
      <c r="AB756" s="73">
        <v>46200</v>
      </c>
      <c r="AE756" t="s">
        <v>684</v>
      </c>
      <c r="AF756" t="s">
        <v>379</v>
      </c>
      <c r="AI756" t="s">
        <v>688</v>
      </c>
      <c r="AJ756">
        <v>0</v>
      </c>
      <c r="AK756" t="s">
        <v>372</v>
      </c>
      <c r="AP756" t="s">
        <v>374</v>
      </c>
      <c r="AQ756" s="73"/>
      <c r="BR756" s="73"/>
      <c r="CX756" s="73"/>
      <c r="EQ756" s="73"/>
    </row>
    <row r="757" spans="1:209" ht="14.25" customHeight="1" x14ac:dyDescent="0.25">
      <c r="A757" t="s">
        <v>781</v>
      </c>
      <c r="B757" t="s">
        <v>381</v>
      </c>
      <c r="C757">
        <v>1</v>
      </c>
      <c r="D757" t="s">
        <v>666</v>
      </c>
      <c r="E757" s="73"/>
      <c r="AB757" s="73"/>
      <c r="AQ757" s="73">
        <v>46200</v>
      </c>
      <c r="AT757" t="s">
        <v>670</v>
      </c>
      <c r="AU757" t="s">
        <v>385</v>
      </c>
      <c r="AV757" t="s">
        <v>385</v>
      </c>
      <c r="AW757" t="s">
        <v>383</v>
      </c>
      <c r="AX757" t="s">
        <v>404</v>
      </c>
      <c r="AY757" t="s">
        <v>384</v>
      </c>
      <c r="AZ757" t="s">
        <v>384</v>
      </c>
      <c r="BA757" t="s">
        <v>367</v>
      </c>
      <c r="BB757" t="s">
        <v>367</v>
      </c>
      <c r="BC757">
        <v>8</v>
      </c>
      <c r="BD757" t="s">
        <v>374</v>
      </c>
      <c r="BR757" s="73"/>
      <c r="CX757" s="73"/>
      <c r="EQ757" s="73"/>
    </row>
    <row r="758" spans="1:209" ht="14.25" customHeight="1" x14ac:dyDescent="0.25">
      <c r="A758" t="s">
        <v>782</v>
      </c>
      <c r="D758" t="s">
        <v>666</v>
      </c>
      <c r="E758" s="73">
        <v>46200</v>
      </c>
      <c r="H758" t="s">
        <v>368</v>
      </c>
      <c r="I758" t="s">
        <v>368</v>
      </c>
      <c r="J758">
        <v>1995</v>
      </c>
      <c r="K758" t="s">
        <v>561</v>
      </c>
      <c r="L758" t="s">
        <v>370</v>
      </c>
      <c r="M758" t="s">
        <v>371</v>
      </c>
      <c r="N758" t="s">
        <v>371</v>
      </c>
      <c r="O758" t="s">
        <v>371</v>
      </c>
      <c r="P758" t="s">
        <v>371</v>
      </c>
      <c r="Q758" t="s">
        <v>371</v>
      </c>
      <c r="R758" t="s">
        <v>372</v>
      </c>
      <c r="S758" t="s">
        <v>372</v>
      </c>
      <c r="T758" t="s">
        <v>372</v>
      </c>
      <c r="U758" t="s">
        <v>367</v>
      </c>
      <c r="W758" t="s">
        <v>367</v>
      </c>
      <c r="X758" t="s">
        <v>373</v>
      </c>
      <c r="Y758" t="s">
        <v>367</v>
      </c>
      <c r="Z758" t="s">
        <v>374</v>
      </c>
      <c r="AB758" s="73"/>
      <c r="AQ758" s="73"/>
      <c r="BG758" t="s">
        <v>371</v>
      </c>
      <c r="BH758" t="s">
        <v>371</v>
      </c>
      <c r="BI758" t="s">
        <v>371</v>
      </c>
      <c r="BJ758" t="s">
        <v>371</v>
      </c>
      <c r="BK758" t="s">
        <v>371</v>
      </c>
      <c r="BL758" t="s">
        <v>371</v>
      </c>
      <c r="BM758" t="s">
        <v>371</v>
      </c>
      <c r="BN758" t="s">
        <v>371</v>
      </c>
      <c r="BO758" t="s">
        <v>371</v>
      </c>
      <c r="BQ758" t="s">
        <v>375</v>
      </c>
      <c r="BR758" s="73"/>
      <c r="CX758" s="73"/>
      <c r="EQ758" s="73"/>
      <c r="FT758">
        <v>0</v>
      </c>
      <c r="FZ758" t="s">
        <v>371</v>
      </c>
      <c r="GA758" t="s">
        <v>371</v>
      </c>
      <c r="GB758" t="s">
        <v>371</v>
      </c>
      <c r="GC758" t="s">
        <v>371</v>
      </c>
      <c r="GD758" t="s">
        <v>371</v>
      </c>
      <c r="GF758" t="s">
        <v>371</v>
      </c>
      <c r="GG758" t="s">
        <v>371</v>
      </c>
      <c r="GH758" t="s">
        <v>371</v>
      </c>
      <c r="GI758" t="s">
        <v>371</v>
      </c>
      <c r="GJ758" t="s">
        <v>371</v>
      </c>
      <c r="GK758" t="s">
        <v>371</v>
      </c>
      <c r="GN758" t="s">
        <v>371</v>
      </c>
      <c r="GO758" t="s">
        <v>371</v>
      </c>
      <c r="GP758" t="s">
        <v>371</v>
      </c>
      <c r="GQ758" t="s">
        <v>371</v>
      </c>
      <c r="GR758" t="s">
        <v>371</v>
      </c>
      <c r="GS758" t="s">
        <v>371</v>
      </c>
      <c r="GT758" t="s">
        <v>371</v>
      </c>
      <c r="GU758" t="s">
        <v>371</v>
      </c>
      <c r="GV758" t="s">
        <v>371</v>
      </c>
      <c r="GW758" t="s">
        <v>371</v>
      </c>
      <c r="GX758" t="s">
        <v>371</v>
      </c>
      <c r="HA758" t="s">
        <v>375</v>
      </c>
    </row>
    <row r="759" spans="1:209" ht="14.25" customHeight="1" x14ac:dyDescent="0.25">
      <c r="A759" t="s">
        <v>782</v>
      </c>
      <c r="B759" t="s">
        <v>376</v>
      </c>
      <c r="C759">
        <v>1</v>
      </c>
      <c r="D759" t="s">
        <v>666</v>
      </c>
      <c r="E759" s="73"/>
      <c r="AA759" t="s">
        <v>377</v>
      </c>
      <c r="AB759" s="73">
        <v>46200</v>
      </c>
      <c r="AE759" t="s">
        <v>684</v>
      </c>
      <c r="AF759" t="s">
        <v>379</v>
      </c>
      <c r="AI759" t="s">
        <v>688</v>
      </c>
      <c r="AJ759">
        <v>0</v>
      </c>
      <c r="AK759" t="s">
        <v>372</v>
      </c>
      <c r="AP759" t="s">
        <v>374</v>
      </c>
      <c r="AQ759" s="73"/>
      <c r="BR759" s="73"/>
      <c r="CX759" s="73"/>
      <c r="EQ759" s="73"/>
    </row>
    <row r="760" spans="1:209" ht="14.25" customHeight="1" x14ac:dyDescent="0.25">
      <c r="A760" t="s">
        <v>782</v>
      </c>
      <c r="B760" t="s">
        <v>381</v>
      </c>
      <c r="C760">
        <v>1</v>
      </c>
      <c r="D760" t="s">
        <v>666</v>
      </c>
      <c r="E760" s="73"/>
      <c r="AB760" s="73"/>
      <c r="AQ760" s="73">
        <v>46200</v>
      </c>
      <c r="AT760" t="s">
        <v>680</v>
      </c>
      <c r="AU760" t="s">
        <v>385</v>
      </c>
      <c r="AV760" t="s">
        <v>383</v>
      </c>
      <c r="AW760" t="s">
        <v>383</v>
      </c>
      <c r="AX760" t="s">
        <v>404</v>
      </c>
      <c r="AY760" t="s">
        <v>383</v>
      </c>
      <c r="AZ760" t="s">
        <v>383</v>
      </c>
      <c r="BA760" t="s">
        <v>367</v>
      </c>
      <c r="BB760" t="s">
        <v>367</v>
      </c>
      <c r="BC760">
        <v>9</v>
      </c>
      <c r="BD760" t="s">
        <v>374</v>
      </c>
      <c r="BR760" s="73"/>
      <c r="CX760" s="73"/>
      <c r="EQ760" s="73"/>
    </row>
    <row r="761" spans="1:209" ht="14.25" customHeight="1" x14ac:dyDescent="0.25">
      <c r="A761" t="s">
        <v>783</v>
      </c>
      <c r="D761" t="s">
        <v>666</v>
      </c>
      <c r="E761" s="73">
        <v>46200</v>
      </c>
      <c r="H761" t="s">
        <v>368</v>
      </c>
      <c r="I761" t="s">
        <v>368</v>
      </c>
      <c r="J761">
        <v>2003</v>
      </c>
      <c r="K761" t="s">
        <v>561</v>
      </c>
      <c r="L761" t="s">
        <v>370</v>
      </c>
      <c r="M761" t="s">
        <v>371</v>
      </c>
      <c r="N761" t="s">
        <v>371</v>
      </c>
      <c r="O761" t="s">
        <v>371</v>
      </c>
      <c r="P761" t="s">
        <v>371</v>
      </c>
      <c r="Q761" t="s">
        <v>371</v>
      </c>
      <c r="R761" t="s">
        <v>372</v>
      </c>
      <c r="S761" t="s">
        <v>372</v>
      </c>
      <c r="T761" t="s">
        <v>372</v>
      </c>
      <c r="U761" t="s">
        <v>367</v>
      </c>
      <c r="W761" t="s">
        <v>367</v>
      </c>
      <c r="X761" t="s">
        <v>373</v>
      </c>
      <c r="Y761" t="s">
        <v>367</v>
      </c>
      <c r="Z761" t="s">
        <v>374</v>
      </c>
      <c r="AB761" s="73"/>
      <c r="AQ761" s="73"/>
      <c r="BG761" t="s">
        <v>371</v>
      </c>
      <c r="BH761" t="s">
        <v>371</v>
      </c>
      <c r="BI761" t="s">
        <v>371</v>
      </c>
      <c r="BJ761" t="s">
        <v>371</v>
      </c>
      <c r="BK761" t="s">
        <v>371</v>
      </c>
      <c r="BL761" t="s">
        <v>371</v>
      </c>
      <c r="BM761" t="s">
        <v>371</v>
      </c>
      <c r="BN761" t="s">
        <v>371</v>
      </c>
      <c r="BO761" t="s">
        <v>371</v>
      </c>
      <c r="BQ761" t="s">
        <v>375</v>
      </c>
      <c r="BR761" s="73"/>
      <c r="CX761" s="73"/>
      <c r="EQ761" s="73"/>
      <c r="FT761">
        <v>0</v>
      </c>
      <c r="FZ761" t="s">
        <v>371</v>
      </c>
      <c r="GA761" t="s">
        <v>371</v>
      </c>
      <c r="GB761" t="s">
        <v>371</v>
      </c>
      <c r="GC761" t="s">
        <v>371</v>
      </c>
      <c r="GD761" t="s">
        <v>371</v>
      </c>
      <c r="GF761" t="s">
        <v>371</v>
      </c>
      <c r="GG761" t="s">
        <v>371</v>
      </c>
      <c r="GH761" t="s">
        <v>371</v>
      </c>
      <c r="GI761" t="s">
        <v>371</v>
      </c>
      <c r="GJ761" t="s">
        <v>371</v>
      </c>
      <c r="GK761" t="s">
        <v>371</v>
      </c>
      <c r="GN761" t="s">
        <v>371</v>
      </c>
      <c r="GO761" t="s">
        <v>371</v>
      </c>
      <c r="GP761" t="s">
        <v>371</v>
      </c>
      <c r="GQ761" t="s">
        <v>371</v>
      </c>
      <c r="GR761" t="s">
        <v>371</v>
      </c>
      <c r="GS761" t="s">
        <v>371</v>
      </c>
      <c r="GT761" t="s">
        <v>371</v>
      </c>
      <c r="GU761" t="s">
        <v>371</v>
      </c>
      <c r="GV761" t="s">
        <v>371</v>
      </c>
      <c r="GW761" t="s">
        <v>371</v>
      </c>
      <c r="GX761" t="s">
        <v>371</v>
      </c>
      <c r="HA761" t="s">
        <v>375</v>
      </c>
    </row>
    <row r="762" spans="1:209" ht="14.25" customHeight="1" x14ac:dyDescent="0.25">
      <c r="A762" t="s">
        <v>783</v>
      </c>
      <c r="B762" t="s">
        <v>376</v>
      </c>
      <c r="C762">
        <v>1</v>
      </c>
      <c r="D762" t="s">
        <v>666</v>
      </c>
      <c r="E762" s="73"/>
      <c r="AA762" t="s">
        <v>377</v>
      </c>
      <c r="AB762" s="73">
        <v>46200</v>
      </c>
      <c r="AE762" t="s">
        <v>684</v>
      </c>
      <c r="AF762" t="s">
        <v>379</v>
      </c>
      <c r="AI762" t="s">
        <v>688</v>
      </c>
      <c r="AJ762">
        <v>0</v>
      </c>
      <c r="AK762" t="s">
        <v>372</v>
      </c>
      <c r="AP762" t="s">
        <v>374</v>
      </c>
      <c r="AQ762" s="73"/>
      <c r="BR762" s="73"/>
      <c r="CX762" s="73"/>
      <c r="EQ762" s="73"/>
    </row>
    <row r="763" spans="1:209" ht="14.25" customHeight="1" x14ac:dyDescent="0.25">
      <c r="A763" t="s">
        <v>783</v>
      </c>
      <c r="B763" t="s">
        <v>381</v>
      </c>
      <c r="C763">
        <v>1</v>
      </c>
      <c r="D763" t="s">
        <v>666</v>
      </c>
      <c r="E763" s="73"/>
      <c r="AB763" s="73"/>
      <c r="AQ763" s="73">
        <v>46200</v>
      </c>
      <c r="AT763" t="s">
        <v>680</v>
      </c>
      <c r="AU763" t="s">
        <v>404</v>
      </c>
      <c r="AV763" t="s">
        <v>383</v>
      </c>
      <c r="AW763" t="s">
        <v>384</v>
      </c>
      <c r="AX763" t="s">
        <v>385</v>
      </c>
      <c r="AY763" t="s">
        <v>383</v>
      </c>
      <c r="AZ763" t="s">
        <v>383</v>
      </c>
      <c r="BA763" t="s">
        <v>367</v>
      </c>
      <c r="BB763" t="s">
        <v>367</v>
      </c>
      <c r="BC763">
        <v>8</v>
      </c>
      <c r="BD763" t="s">
        <v>374</v>
      </c>
      <c r="BR763" s="73"/>
      <c r="CX763" s="73"/>
      <c r="EQ763" s="73"/>
    </row>
    <row r="764" spans="1:209" ht="14.25" customHeight="1" x14ac:dyDescent="0.25">
      <c r="A764" t="s">
        <v>784</v>
      </c>
      <c r="D764" t="s">
        <v>666</v>
      </c>
      <c r="E764" s="73">
        <v>46200</v>
      </c>
      <c r="H764" t="s">
        <v>368</v>
      </c>
      <c r="I764" t="s">
        <v>368</v>
      </c>
      <c r="J764">
        <v>2003</v>
      </c>
      <c r="K764" t="s">
        <v>561</v>
      </c>
      <c r="L764" t="s">
        <v>370</v>
      </c>
      <c r="M764" t="s">
        <v>371</v>
      </c>
      <c r="N764" t="s">
        <v>371</v>
      </c>
      <c r="O764" t="s">
        <v>371</v>
      </c>
      <c r="P764" t="s">
        <v>371</v>
      </c>
      <c r="Q764" t="s">
        <v>371</v>
      </c>
      <c r="R764" t="s">
        <v>372</v>
      </c>
      <c r="S764" t="s">
        <v>372</v>
      </c>
      <c r="T764" t="s">
        <v>372</v>
      </c>
      <c r="U764" t="s">
        <v>367</v>
      </c>
      <c r="W764" t="s">
        <v>367</v>
      </c>
      <c r="X764" t="s">
        <v>373</v>
      </c>
      <c r="Y764" t="s">
        <v>367</v>
      </c>
      <c r="Z764" t="s">
        <v>374</v>
      </c>
      <c r="AB764" s="73"/>
      <c r="AQ764" s="73"/>
      <c r="BG764" t="s">
        <v>371</v>
      </c>
      <c r="BH764" t="s">
        <v>371</v>
      </c>
      <c r="BI764" t="s">
        <v>371</v>
      </c>
      <c r="BJ764" t="s">
        <v>371</v>
      </c>
      <c r="BK764" t="s">
        <v>371</v>
      </c>
      <c r="BL764" t="s">
        <v>371</v>
      </c>
      <c r="BM764" t="s">
        <v>371</v>
      </c>
      <c r="BN764" t="s">
        <v>371</v>
      </c>
      <c r="BO764" t="s">
        <v>371</v>
      </c>
      <c r="BQ764" t="s">
        <v>375</v>
      </c>
      <c r="BR764" s="73"/>
      <c r="CX764" s="73"/>
      <c r="EQ764" s="73"/>
      <c r="FT764">
        <v>0</v>
      </c>
      <c r="FZ764" t="s">
        <v>371</v>
      </c>
      <c r="GA764" t="s">
        <v>371</v>
      </c>
      <c r="GB764" t="s">
        <v>371</v>
      </c>
      <c r="GC764" t="s">
        <v>371</v>
      </c>
      <c r="GD764" t="s">
        <v>371</v>
      </c>
      <c r="GF764" t="s">
        <v>371</v>
      </c>
      <c r="GG764" t="s">
        <v>371</v>
      </c>
      <c r="GH764" t="s">
        <v>371</v>
      </c>
      <c r="GI764" t="s">
        <v>371</v>
      </c>
      <c r="GJ764" t="s">
        <v>371</v>
      </c>
      <c r="GK764" t="s">
        <v>371</v>
      </c>
      <c r="GN764" t="s">
        <v>371</v>
      </c>
      <c r="GO764" t="s">
        <v>371</v>
      </c>
      <c r="GP764" t="s">
        <v>371</v>
      </c>
      <c r="GQ764" t="s">
        <v>371</v>
      </c>
      <c r="GR764" t="s">
        <v>371</v>
      </c>
      <c r="GS764" t="s">
        <v>371</v>
      </c>
      <c r="GT764" t="s">
        <v>371</v>
      </c>
      <c r="GU764" t="s">
        <v>371</v>
      </c>
      <c r="GV764" t="s">
        <v>371</v>
      </c>
      <c r="GW764" t="s">
        <v>371</v>
      </c>
      <c r="GX764" t="s">
        <v>371</v>
      </c>
      <c r="HA764" t="s">
        <v>375</v>
      </c>
    </row>
    <row r="765" spans="1:209" ht="14.25" customHeight="1" x14ac:dyDescent="0.25">
      <c r="A765" t="s">
        <v>784</v>
      </c>
      <c r="B765" t="s">
        <v>376</v>
      </c>
      <c r="C765">
        <v>1</v>
      </c>
      <c r="D765" t="s">
        <v>666</v>
      </c>
      <c r="E765" s="73"/>
      <c r="AA765" t="s">
        <v>377</v>
      </c>
      <c r="AB765" s="73">
        <v>46200</v>
      </c>
      <c r="AE765" t="s">
        <v>684</v>
      </c>
      <c r="AF765" t="s">
        <v>379</v>
      </c>
      <c r="AI765" t="s">
        <v>688</v>
      </c>
      <c r="AJ765">
        <v>0</v>
      </c>
      <c r="AK765" t="s">
        <v>372</v>
      </c>
      <c r="AP765" t="s">
        <v>374</v>
      </c>
      <c r="AQ765" s="73"/>
      <c r="BR765" s="73"/>
      <c r="CX765" s="73"/>
      <c r="EQ765" s="73"/>
    </row>
    <row r="766" spans="1:209" ht="14.25" customHeight="1" x14ac:dyDescent="0.25">
      <c r="A766" t="s">
        <v>784</v>
      </c>
      <c r="B766" t="s">
        <v>381</v>
      </c>
      <c r="C766">
        <v>1</v>
      </c>
      <c r="D766" t="s">
        <v>666</v>
      </c>
      <c r="E766" s="73"/>
      <c r="AB766" s="73"/>
      <c r="AQ766" s="73">
        <v>46200</v>
      </c>
      <c r="AT766" t="s">
        <v>680</v>
      </c>
      <c r="AU766" t="s">
        <v>385</v>
      </c>
      <c r="AV766" t="s">
        <v>383</v>
      </c>
      <c r="AW766" t="s">
        <v>385</v>
      </c>
      <c r="AX766" t="s">
        <v>385</v>
      </c>
      <c r="AY766" t="s">
        <v>384</v>
      </c>
      <c r="AZ766" t="s">
        <v>383</v>
      </c>
      <c r="BA766" t="s">
        <v>367</v>
      </c>
      <c r="BB766" t="s">
        <v>367</v>
      </c>
      <c r="BC766">
        <v>8</v>
      </c>
      <c r="BD766" t="s">
        <v>374</v>
      </c>
      <c r="BR766" s="73"/>
      <c r="CX766" s="73"/>
      <c r="EQ766" s="73"/>
    </row>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Các loại báo cáo</vt:lpstr>
      <vt:lpstr>Về nhà</vt:lpstr>
      <vt:lpstr>Its T time</vt:lpstr>
      <vt:lpstr>Liên minh hạnh phúc</vt:lpstr>
      <vt:lpstr>DREAMH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Tuan Tm</cp:lastModifiedBy>
  <cp:revision>0</cp:revision>
  <dcterms:created xsi:type="dcterms:W3CDTF">2022-09-15T09:46:38Z</dcterms:created>
  <dcterms:modified xsi:type="dcterms:W3CDTF">2026-09-15T16:45:43Z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0x0101006C3B176E0C9D2B4695D56C606ADD05E8</vt:lpwstr>
  </property>
  <property fmtid="{D5CDD505-2E9C-101B-9397-08002B2CF9AE}" pid="3" name="MediaServiceImageTags">
    <vt:lpwstr/>
  </property>
</Properties>
</file>