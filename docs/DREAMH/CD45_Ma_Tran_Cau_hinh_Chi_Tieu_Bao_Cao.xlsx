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Projects\BVTL-X\docs\DREAMH\"/>
    </mc:Choice>
  </mc:AlternateContent>
  <xr:revisionPtr revIDLastSave="0" documentId="13_ncr:1_{54E0D2C8-026C-448B-AACB-227F232DB619}" xr6:coauthVersionLast="47" xr6:coauthVersionMax="47" xr10:uidLastSave="{00000000-0000-0000-0000-000000000000}"/>
  <bookViews>
    <workbookView xWindow="-120" yWindow="-120" windowWidth="29040" windowHeight="15720" tabRatio="500" firstSheet="2" activeTab="2" xr2:uid="{00000000-000D-0000-FFFF-FFFF00000000}"/>
  </bookViews>
  <sheets>
    <sheet name="Các loại báo cáo" sheetId="1" r:id="rId1"/>
    <sheet name="Về nhà" sheetId="2" r:id="rId2"/>
    <sheet name="Cấu hình chỉ tiêu báo cáo" sheetId="4" r:id="rId3"/>
  </sheets>
  <definedNames>
    <definedName name="_xlnm._FilterDatabase" localSheetId="2" hidden="1">'Cấu hình chỉ tiêu báo cáo'!$B$4:$H$53</definedName>
    <definedName name="_xlnm._FilterDatabase" localSheetId="1" hidden="1">'Về nhà'!$B$4:$O$53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J40" i="2" l="1" a="1"/>
  <c r="J39" i="2" a="1"/>
  <c r="J38" i="2" a="1"/>
  <c r="J37" i="2" a="1"/>
  <c r="J37" i="2" s="1"/>
  <c r="J36" i="2" a="1"/>
  <c r="J36" i="2" s="1"/>
  <c r="J35" i="2" a="1"/>
  <c r="J34" i="2" a="1"/>
  <c r="J34" i="2" s="1"/>
  <c r="J33" i="2" a="1"/>
  <c r="J33" i="2" s="1"/>
  <c r="J32" i="2" a="1"/>
  <c r="J30" i="2" a="1"/>
  <c r="J29" i="2" a="1"/>
  <c r="J28" i="2" a="1"/>
  <c r="J27" i="2" a="1"/>
  <c r="J26" i="2" a="1"/>
  <c r="J25" i="2" a="1"/>
  <c r="J25" i="2" s="1"/>
  <c r="J24" i="2" a="1"/>
  <c r="J24" i="2" s="1"/>
  <c r="J23" i="2" a="1"/>
  <c r="J22" i="2" a="1"/>
  <c r="J21" i="2" a="1"/>
  <c r="J20" i="2" a="1"/>
  <c r="J20" i="2" s="1"/>
  <c r="J19" i="2" a="1"/>
  <c r="J18" i="2" a="1"/>
  <c r="J17" i="2" a="1"/>
  <c r="J17" i="2" s="1"/>
  <c r="J16" i="2" a="1"/>
  <c r="J16" i="2" s="1"/>
  <c r="J15" i="2" a="1"/>
  <c r="J14" i="2" a="1"/>
  <c r="J12" i="2" a="1"/>
  <c r="I40" i="2" a="1"/>
  <c r="I40" i="2" s="1"/>
  <c r="I39" i="2" a="1"/>
  <c r="I39" i="2" s="1"/>
  <c r="I38" i="2" a="1"/>
  <c r="I37" i="2" a="1"/>
  <c r="I37" i="2" s="1"/>
  <c r="I36" i="2" a="1"/>
  <c r="I36" i="2" s="1"/>
  <c r="I35" i="2" a="1"/>
  <c r="I34" i="2" a="1"/>
  <c r="I33" i="2" a="1"/>
  <c r="I32" i="2" a="1"/>
  <c r="I30" i="2" a="1"/>
  <c r="I29" i="2" a="1"/>
  <c r="I28" i="2" a="1"/>
  <c r="I28" i="2" s="1"/>
  <c r="I27" i="2" a="1"/>
  <c r="I27" i="2" s="1"/>
  <c r="I26" i="2" a="1"/>
  <c r="I25" i="2" a="1"/>
  <c r="I24" i="2" a="1"/>
  <c r="I23" i="2" a="1"/>
  <c r="I23" i="2" s="1"/>
  <c r="I22" i="2" a="1"/>
  <c r="I22" i="2" s="1"/>
  <c r="I21" i="2" a="1"/>
  <c r="I20" i="2" a="1"/>
  <c r="I20" i="2" s="1"/>
  <c r="I19" i="2" a="1"/>
  <c r="I19" i="2" s="1"/>
  <c r="I18" i="2" a="1"/>
  <c r="I17" i="2" a="1"/>
  <c r="I16" i="2" a="1"/>
  <c r="I15" i="2" a="1"/>
  <c r="I14" i="2" a="1"/>
  <c r="I14" i="2" s="1"/>
  <c r="I12" i="2" a="1"/>
  <c r="H40" i="2" a="1"/>
  <c r="H40" i="2" s="1"/>
  <c r="H39" i="2" a="1"/>
  <c r="H39" i="2" s="1"/>
  <c r="H38" i="2" a="1"/>
  <c r="H37" i="2" a="1"/>
  <c r="H36" i="2" a="1"/>
  <c r="H35" i="2" a="1"/>
  <c r="H35" i="2" s="1"/>
  <c r="H34" i="2" a="1"/>
  <c r="H34" i="2" s="1"/>
  <c r="H33" i="2" a="1"/>
  <c r="H33" i="2" s="1"/>
  <c r="H32" i="2" a="1"/>
  <c r="H32" i="2" s="1"/>
  <c r="H30" i="2" a="1"/>
  <c r="H30" i="2" s="1"/>
  <c r="H29" i="2" a="1"/>
  <c r="H28" i="2" a="1"/>
  <c r="H27" i="2" a="1"/>
  <c r="H26" i="2" a="1"/>
  <c r="H26" i="2" s="1"/>
  <c r="H25" i="2" a="1"/>
  <c r="H25" i="2" s="1"/>
  <c r="H24" i="2" a="1"/>
  <c r="H24" i="2" s="1"/>
  <c r="H23" i="2" a="1"/>
  <c r="H23" i="2" s="1"/>
  <c r="H22" i="2" a="1"/>
  <c r="H22" i="2" s="1"/>
  <c r="H21" i="2" a="1"/>
  <c r="H20" i="2" a="1"/>
  <c r="H19" i="2" a="1"/>
  <c r="H18" i="2" a="1"/>
  <c r="H17" i="2" a="1"/>
  <c r="H16" i="2" a="1"/>
  <c r="H16" i="2" s="1"/>
  <c r="H15" i="2" a="1"/>
  <c r="H15" i="2" s="1"/>
  <c r="H14" i="2" a="1"/>
  <c r="H14" i="2" s="1"/>
  <c r="H12" i="2" a="1"/>
  <c r="H10" i="2" a="1"/>
  <c r="G40" i="2" a="1"/>
  <c r="G39" i="2" a="1"/>
  <c r="G38" i="2" a="1"/>
  <c r="G38" i="2" s="1"/>
  <c r="G37" i="2" a="1"/>
  <c r="G36" i="2" a="1"/>
  <c r="G36" i="2" s="1"/>
  <c r="G35" i="2" a="1"/>
  <c r="G35" i="2" s="1"/>
  <c r="G34" i="2" a="1"/>
  <c r="G33" i="2" a="1"/>
  <c r="G32" i="2" a="1"/>
  <c r="G30" i="2" a="1"/>
  <c r="G30" i="2" s="1"/>
  <c r="G29" i="2" a="1"/>
  <c r="G29" i="2" s="1"/>
  <c r="G28" i="2" a="1"/>
  <c r="G27" i="2" a="1"/>
  <c r="G27" i="2" s="1"/>
  <c r="G26" i="2" a="1"/>
  <c r="G26" i="2" s="1"/>
  <c r="G25" i="2" a="1"/>
  <c r="G24" i="2" a="1"/>
  <c r="G23" i="2" a="1"/>
  <c r="G22" i="2" a="1"/>
  <c r="G22" i="2" s="1"/>
  <c r="G21" i="2" a="1"/>
  <c r="G20" i="2" a="1"/>
  <c r="G19" i="2" a="1"/>
  <c r="G19" i="2" s="1"/>
  <c r="G18" i="2" a="1"/>
  <c r="G18" i="2" s="1"/>
  <c r="G17" i="2" a="1"/>
  <c r="G16" i="2" a="1"/>
  <c r="G15" i="2" a="1"/>
  <c r="G14" i="2" a="1"/>
  <c r="G12" i="2" a="1"/>
  <c r="G12" i="2" s="1"/>
  <c r="F40" i="2" a="1"/>
  <c r="F40" i="2" s="1"/>
  <c r="F39" i="2" a="1"/>
  <c r="F39" i="2" s="1"/>
  <c r="F38" i="2" a="1"/>
  <c r="F38" i="2" s="1"/>
  <c r="F37" i="2" a="1"/>
  <c r="F36" i="2" a="1"/>
  <c r="F35" i="2" a="1"/>
  <c r="F34" i="2" a="1"/>
  <c r="F34" i="2" s="1"/>
  <c r="F33" i="2" a="1"/>
  <c r="F33" i="2" s="1"/>
  <c r="F32" i="2" a="1"/>
  <c r="F32" i="2" s="1"/>
  <c r="F30" i="2" a="1"/>
  <c r="F30" i="2" s="1"/>
  <c r="F29" i="2" a="1"/>
  <c r="F29" i="2" s="1"/>
  <c r="F28" i="2" a="1"/>
  <c r="F27" i="2" a="1"/>
  <c r="F26" i="2" a="1"/>
  <c r="F25" i="2" a="1"/>
  <c r="F24" i="2" a="1"/>
  <c r="F24" i="2" s="1"/>
  <c r="F23" i="2" a="1"/>
  <c r="F23" i="2" s="1"/>
  <c r="F22" i="2" a="1"/>
  <c r="F22" i="2" s="1"/>
  <c r="F21" i="2" a="1"/>
  <c r="F21" i="2" s="1"/>
  <c r="F20" i="2" a="1"/>
  <c r="F19" i="2" a="1"/>
  <c r="F18" i="2" a="1"/>
  <c r="F17" i="2" a="1"/>
  <c r="F17" i="2" s="1"/>
  <c r="F16" i="2" a="1"/>
  <c r="F15" i="2" a="1"/>
  <c r="F15" i="2" s="1"/>
  <c r="F14" i="2" a="1"/>
  <c r="F14" i="2" s="1"/>
  <c r="F12" i="2" a="1"/>
  <c r="F12" i="2" s="1"/>
  <c r="E40" i="2" a="1"/>
  <c r="E39" i="2" a="1"/>
  <c r="E38" i="2" a="1"/>
  <c r="E37" i="2" a="1"/>
  <c r="E37" i="2" s="1"/>
  <c r="E36" i="2" a="1"/>
  <c r="E36" i="2" s="1"/>
  <c r="E35" i="2" a="1"/>
  <c r="E35" i="2" s="1"/>
  <c r="E34" i="2" a="1"/>
  <c r="E34" i="2" s="1"/>
  <c r="E33" i="2" a="1"/>
  <c r="E33" i="2" s="1"/>
  <c r="E32" i="2" a="1"/>
  <c r="E30" i="2" a="1"/>
  <c r="E29" i="2" a="1"/>
  <c r="E28" i="2" a="1"/>
  <c r="E27" i="2" a="1"/>
  <c r="E26" i="2" a="1"/>
  <c r="E26" i="2" s="1"/>
  <c r="E25" i="2" a="1"/>
  <c r="E25" i="2" s="1"/>
  <c r="E24" i="2" a="1"/>
  <c r="E24" i="2" s="1"/>
  <c r="E23" i="2" a="1"/>
  <c r="E22" i="2" a="1"/>
  <c r="E21" i="2" a="1"/>
  <c r="E20" i="2" a="1"/>
  <c r="E20" i="2" s="1"/>
  <c r="E19" i="2" a="1"/>
  <c r="E19" i="2" s="1"/>
  <c r="E18" i="2" a="1"/>
  <c r="E18" i="2" s="1"/>
  <c r="E17" i="2" a="1"/>
  <c r="E17" i="2" s="1"/>
  <c r="E16" i="2" a="1"/>
  <c r="E16" i="2" s="1"/>
  <c r="E15" i="2" a="1"/>
  <c r="E14" i="2" a="1"/>
  <c r="E12" i="2" a="1"/>
  <c r="J11" i="2" a="1"/>
  <c r="I11" i="2" a="1"/>
  <c r="H11" i="2" a="1"/>
  <c r="H11" i="2" s="1"/>
  <c r="G11" i="2" a="1"/>
  <c r="G11" i="2" s="1"/>
  <c r="F11" i="2" a="1"/>
  <c r="F11" i="2" s="1"/>
  <c r="E11" i="2" a="1"/>
  <c r="J10" i="2" a="1"/>
  <c r="I10" i="2" a="1"/>
  <c r="G10" i="2" a="1"/>
  <c r="G10" i="2" s="1"/>
  <c r="F10" i="2" a="1"/>
  <c r="F10" i="2" s="1"/>
  <c r="E10" i="2" a="1"/>
  <c r="J8" i="2" a="1"/>
  <c r="J8" i="2" s="1"/>
  <c r="I8" i="2" a="1"/>
  <c r="I8" i="2" s="1"/>
  <c r="H8" i="2" a="1"/>
  <c r="G8" i="2" a="1"/>
  <c r="F8" i="2" a="1"/>
  <c r="E8" i="2" a="1"/>
  <c r="E8" i="2" s="1"/>
  <c r="J7" i="2" a="1"/>
  <c r="J7" i="2" s="1"/>
  <c r="I7" i="2" a="1"/>
  <c r="H7" i="2" a="1"/>
  <c r="H7" i="2" s="1"/>
  <c r="G7" i="2" a="1"/>
  <c r="G7" i="2" s="1"/>
  <c r="F7" i="2" a="1"/>
  <c r="E7" i="2" a="1"/>
  <c r="J6" i="2" a="1"/>
  <c r="I6" i="2" a="1"/>
  <c r="I6" i="2" s="1"/>
  <c r="H6" i="2" a="1"/>
  <c r="H6" i="2" s="1"/>
  <c r="G6" i="2" a="1"/>
  <c r="F6" i="2" a="1"/>
  <c r="F6" i="2" s="1"/>
  <c r="E6" i="2" a="1"/>
  <c r="E6" i="2" s="1"/>
  <c r="J40" i="2"/>
  <c r="G40" i="2"/>
  <c r="E40" i="2"/>
  <c r="J39" i="2"/>
  <c r="G39" i="2"/>
  <c r="E39" i="2"/>
  <c r="J38" i="2"/>
  <c r="I38" i="2"/>
  <c r="H38" i="2"/>
  <c r="E38" i="2"/>
  <c r="H37" i="2"/>
  <c r="G37" i="2"/>
  <c r="F37" i="2"/>
  <c r="H36" i="2"/>
  <c r="F36" i="2"/>
  <c r="J35" i="2"/>
  <c r="I35" i="2"/>
  <c r="F35" i="2"/>
  <c r="I34" i="2"/>
  <c r="G34" i="2"/>
  <c r="I33" i="2"/>
  <c r="G33" i="2"/>
  <c r="J32" i="2"/>
  <c r="I32" i="2"/>
  <c r="G32" i="2"/>
  <c r="E32" i="2"/>
  <c r="J30" i="2"/>
  <c r="I30" i="2"/>
  <c r="E30" i="2"/>
  <c r="J29" i="2"/>
  <c r="I29" i="2"/>
  <c r="H29" i="2"/>
  <c r="E29" i="2"/>
  <c r="J28" i="2"/>
  <c r="H28" i="2"/>
  <c r="G28" i="2"/>
  <c r="F28" i="2"/>
  <c r="E28" i="2"/>
  <c r="J27" i="2"/>
  <c r="H27" i="2"/>
  <c r="F27" i="2"/>
  <c r="E27" i="2"/>
  <c r="J26" i="2"/>
  <c r="I26" i="2"/>
  <c r="F26" i="2"/>
  <c r="I25" i="2"/>
  <c r="G25" i="2"/>
  <c r="F25" i="2"/>
  <c r="I24" i="2"/>
  <c r="G24" i="2"/>
  <c r="J23" i="2"/>
  <c r="G23" i="2"/>
  <c r="E23" i="2"/>
  <c r="J22" i="2"/>
  <c r="E22" i="2"/>
  <c r="J21" i="2"/>
  <c r="I21" i="2"/>
  <c r="H21" i="2"/>
  <c r="G21" i="2"/>
  <c r="E21" i="2"/>
  <c r="H20" i="2"/>
  <c r="G20" i="2"/>
  <c r="F20" i="2"/>
  <c r="J19" i="2"/>
  <c r="H19" i="2"/>
  <c r="F19" i="2"/>
  <c r="J18" i="2"/>
  <c r="I18" i="2"/>
  <c r="H18" i="2"/>
  <c r="F18" i="2"/>
  <c r="I17" i="2"/>
  <c r="H17" i="2"/>
  <c r="G17" i="2"/>
  <c r="I16" i="2"/>
  <c r="G16" i="2"/>
  <c r="F16" i="2"/>
  <c r="J15" i="2"/>
  <c r="I15" i="2"/>
  <c r="G15" i="2"/>
  <c r="E15" i="2"/>
  <c r="J14" i="2"/>
  <c r="G14" i="2"/>
  <c r="E14" i="2"/>
  <c r="J12" i="2"/>
  <c r="I12" i="2"/>
  <c r="H12" i="2"/>
  <c r="E12" i="2"/>
  <c r="J11" i="2"/>
  <c r="I11" i="2"/>
  <c r="E11" i="2"/>
  <c r="J10" i="2"/>
  <c r="I10" i="2"/>
  <c r="H10" i="2"/>
  <c r="E10" i="2"/>
  <c r="H8" i="2"/>
  <c r="G8" i="2"/>
  <c r="F8" i="2"/>
  <c r="I7" i="2"/>
  <c r="F7" i="2"/>
  <c r="E7" i="2"/>
  <c r="J6" i="2"/>
  <c r="G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4" authorId="0" shapeId="0" xr:uid="{00000000-0006-0000-0100-000002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Nên tính theo giới tính khi sinh hay theo nhóm KP?</t>
        </r>
      </text>
    </comment>
    <comment ref="C7" authorId="0" shapeId="0" xr:uid="{00000000-0006-0000-0100-000001000000}">
      <text>
        <r>
          <rPr>
            <sz val="10"/>
            <rFont val="Arial"/>
            <family val="2"/>
          </rPr>
          <t>Tổng số KH nhận được bất kỳ dịch vụ nào trong kỳ báo cáo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7" authorId="0" shapeId="0" xr:uid="{00000000-0006-0000-0300-000001000000}">
      <text>
        <r>
          <rPr>
            <sz val="10"/>
            <rFont val="Arial"/>
            <family val="2"/>
          </rPr>
          <t>Tổng số KH nhận được bất kỳ dịch vụ nào trong kỳ báo cáo</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<sst xmlns="http://schemas.openxmlformats.org/spreadsheetml/2006/main" count="504" uniqueCount="103">
  <si>
    <t>DANH SÁCH CÁC LOẠI BÁO CÁO CỬA DỰ ÁN</t>
  </si>
  <si>
    <t>STT</t>
  </si>
  <si>
    <t>Loại báo cáo</t>
  </si>
  <si>
    <t>Cấp độ</t>
  </si>
  <si>
    <t>Thời điểm xuất báo cáo</t>
  </si>
  <si>
    <t>Báo cáo hoạt động và chỉ số</t>
  </si>
  <si>
    <t>Báo cáo CBO</t>
  </si>
  <si>
    <t>hàng tháng, 3 tháng, 6 tháng, 12 tháng</t>
  </si>
  <si>
    <t>Báo cáo tỉnh</t>
  </si>
  <si>
    <t>3 tháng, 6 tháng, 12 tháng</t>
  </si>
  <si>
    <t>Báo cáo toàn dự án</t>
  </si>
  <si>
    <t>6 tháng, 12 tháng</t>
  </si>
  <si>
    <t>Báo cáo kết quả, chỉ số đột xuất</t>
  </si>
  <si>
    <t>Toàn dự án</t>
  </si>
  <si>
    <t>Theo yêu cầu của chương trình</t>
  </si>
  <si>
    <t xml:space="preserve">BÁO CÁO KẾT QUẢ HOẠT ĐỘNG </t>
  </si>
  <si>
    <t xml:space="preserve">Kỳ báo cáo: </t>
  </si>
  <si>
    <t>Tính theo nhóm KP hay nam/nữ/TG?</t>
  </si>
  <si>
    <t>#</t>
  </si>
  <si>
    <t>Thông tin báo cáo</t>
  </si>
  <si>
    <t>Tổng</t>
  </si>
  <si>
    <t>PUD</t>
  </si>
  <si>
    <t>PLHIV</t>
  </si>
  <si>
    <t>TG</t>
  </si>
  <si>
    <t>SW</t>
  </si>
  <si>
    <t>MSM</t>
  </si>
  <si>
    <t>Tháng</t>
  </si>
  <si>
    <t>Quý</t>
  </si>
  <si>
    <t>6T</t>
  </si>
  <si>
    <t>12T</t>
  </si>
  <si>
    <t>Nguồn số liệu</t>
  </si>
  <si>
    <t>Notes</t>
  </si>
  <si>
    <t>I</t>
  </si>
  <si>
    <t>THÔNG TIN CHUNG</t>
  </si>
  <si>
    <t>Tổng số KH được chăm sóc từ đầu dự án</t>
  </si>
  <si>
    <t>x</t>
  </si>
  <si>
    <t>Dữ liệu từ các biểu mẫu
(KH nhận bất cứ dịch vụ gì)</t>
  </si>
  <si>
    <t>Tổng số KH được chăm sóc trong kỳ báo cáo</t>
  </si>
  <si>
    <t>Số KH mất dấu trong kỳ báo cáo</t>
  </si>
  <si>
    <t>Dữ liệu từ biểu mẫu theo dấu KH</t>
  </si>
  <si>
    <t>Ghi nhận những KH được tính là mất dấu và được nhập liệu trên Redcap</t>
  </si>
  <si>
    <t>II</t>
  </si>
  <si>
    <t>HOẠT ĐỘNG TRUYỀN THÔNG</t>
  </si>
  <si>
    <t>Số KH được tham gia truyền thông lần 1</t>
  </si>
  <si>
    <t>Dữ liệu từ biểu mẫu truyền thông</t>
  </si>
  <si>
    <t>Số KH được tham gia truyền thông lần 2</t>
  </si>
  <si>
    <t>Tổng số lượt KH tham gia truyền thông</t>
  </si>
  <si>
    <t>III</t>
  </si>
  <si>
    <t>SÀNG LỌC BẢNG HỎI QST VÀ CHUYỂN GỬI KHÁM, ĐIỀU TRỊ SKTT</t>
  </si>
  <si>
    <t>Dữ liệu từ bảng hỏi QST</t>
  </si>
  <si>
    <t>Số KH được sàng lọc bảng hỏi QST lần 1</t>
  </si>
  <si>
    <t>Kết quả sàng lọc QST lần đầu</t>
  </si>
  <si>
    <t>Mức 1 (&gt;=8)</t>
  </si>
  <si>
    <t>Mức 2 (6 - 7)</t>
  </si>
  <si>
    <t>Mức 3 (4 - 5)</t>
  </si>
  <si>
    <t>Mức 4 (&lt;4)</t>
  </si>
  <si>
    <t>Số KH được sàng lọc lại bảng hỏi QST (từ lần 2 trở đi)</t>
  </si>
  <si>
    <t>Dữ liệu từ bảng hỏi lại QST</t>
  </si>
  <si>
    <t>Kết quả sàng lọc lại QST</t>
  </si>
  <si>
    <t>Số lượt KH được chuyển gửi khám SKTT</t>
  </si>
  <si>
    <t>Tổng số lượt trong tháng (dễ nhìn check báo cáo và thánh quyết toán)</t>
  </si>
  <si>
    <t>Số KH được chuyển gửi khám SKTT, trong đó:</t>
  </si>
  <si>
    <t>Dữ liệu từ biểu mẫu khám và điều trị SKTT</t>
  </si>
  <si>
    <t>Số KH được chuyển gửi khám SKTT lần 1</t>
  </si>
  <si>
    <t>Số KH được tái khám SKTT</t>
  </si>
  <si>
    <t>Số lượt KH được tái khám SKTT</t>
  </si>
  <si>
    <t>Số KH được điều trị nội trú (nhập viện)</t>
  </si>
  <si>
    <t>Số KH được hỗ trợ mua thẻ Bảo hiểm y tế</t>
  </si>
  <si>
    <t>Chưa có biểu mẫu nhập thông tin này
Bổ sung</t>
  </si>
  <si>
    <t>IV</t>
  </si>
  <si>
    <t>CÁC CAN THIỆP CÁ NHÂN VÀ CAN THIỆP NHÓM</t>
  </si>
  <si>
    <t>Dữ liệu từ biểu mẫu tư vấn</t>
  </si>
  <si>
    <t>Số lượt KH được tư vấn cá nhân</t>
  </si>
  <si>
    <t>Số KH được tư vấn cá nhân, trong đó:</t>
  </si>
  <si>
    <t>Số KH được tư vấn 1 lần</t>
  </si>
  <si>
    <t>Số KH được tư vấn 2 lần</t>
  </si>
  <si>
    <t>Số KH được tư vấn từ 3 lần trở lên</t>
  </si>
  <si>
    <t>Số lượt KH được tham gia sinh hoạt nhóm</t>
  </si>
  <si>
    <t>Dữ liệu từ biểu mẫu sinh hoạt nhóm và can thiệp chữa lành</t>
  </si>
  <si>
    <t>Số KH được tham gia sinh hoạt nhóm</t>
  </si>
  <si>
    <t>Số lượt KH được tham gia can thiệp chữa lành</t>
  </si>
  <si>
    <t>Số KH được tham gia can thiệp chữa lành</t>
  </si>
  <si>
    <t>V</t>
  </si>
  <si>
    <t>CAN THIỆP ONLINE</t>
  </si>
  <si>
    <t>Số lượt KH được can thiệp online</t>
  </si>
  <si>
    <t>Chưa thống nhất việc thu thập thông tin và cach can thiệp (ứng dụng intellect)</t>
  </si>
  <si>
    <t>Chưa có biểu mẫu REDCap tương ứng trong DREAMH (thiếu F1-Tư vấn cá nhân/F4-Can thiệp online/F7-F8). Cần bổ sung instrument để tính tự động.</t>
  </si>
  <si>
    <t>Số KH được can thiệp online</t>
  </si>
  <si>
    <t>VI</t>
  </si>
  <si>
    <t>DỊCH VỤ CHUYỂN GỬI KHÁC</t>
  </si>
  <si>
    <t>Số KH được chuyển gửi dịch vụ/xét nghiệm thành công</t>
  </si>
  <si>
    <t>-  PREP</t>
  </si>
  <si>
    <t>Hiện đang chưa có cơ chế hỗ trợ fixed và thu thập dữ liệu cho những chuyển gửi này. Có thu thập những dữ liệu này không?
Nếu có, bổ sung biểu mẫu nhập liệu, nếu không thì bỏ dòng này</t>
  </si>
  <si>
    <t>-  PEP</t>
  </si>
  <si>
    <t>- Khám/điều trị STIs</t>
  </si>
  <si>
    <t>- XN/Điều trị Viêm gan B,C</t>
  </si>
  <si>
    <t>- Methadone</t>
  </si>
  <si>
    <t>- Dịch vụ y tế khác</t>
  </si>
  <si>
    <t>VII</t>
  </si>
  <si>
    <t>PHÁT TÀI LIỆU TRUYỀN THÔNG</t>
  </si>
  <si>
    <t>Số quyển tài liệu đã phát</t>
  </si>
  <si>
    <t>Có dữ liệu trong các hoạt động nhóm (truyền thông, sinh hoạt, can thiệp chữa lành).
Có bổ sung thêm trường này trong phiếu tư vấn không vì vẫn có thể phát tài liệu trong các buổi tư vấn?</t>
  </si>
  <si>
    <t xml:space="preserve">Số KH nhận tài liệu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</si>
</sst>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Arial"/>
      <family val="2"/>
      <charset val="1"/>
    </font>
    <font>
      <sz val="10"/>
      <name val="Arial"/>
      <family val="2"/>
      <charset val="1"/>
    </font>
    <font>
      <b/>
      <sz val="11"/>
      <color theme="1"/>
      <name val="Arial"/>
      <family val="2"/>
      <charset val="1"/>
    </font>
    <font>
      <sz val="11"/>
      <color rgb="FFFF0000"/>
      <name val="Arial"/>
      <family val="2"/>
      <charset val="1"/>
    </font>
    <font>
      <sz val="14"/>
      <color rgb="FF000000"/>
      <name val="Cambria"/>
      <family val="1"/>
      <charset val="1"/>
    </font>
    <font>
      <b/>
      <sz val="13"/>
      <color theme="1"/>
      <name val="Arial"/>
      <family val="2"/>
      <charset val="1"/>
    </font>
    <font>
      <sz val="13"/>
      <color theme="1"/>
      <name val="Arial"/>
      <family val="2"/>
      <charset val="1"/>
    </font>
    <font>
      <b/>
      <sz val="13"/>
      <name val="Arial"/>
      <family val="2"/>
      <charset val="1"/>
    </font>
    <font>
      <b/>
      <sz val="11"/>
      <name val="Arial"/>
      <family val="2"/>
      <charset val="1"/>
    </font>
    <font>
      <b/>
      <sz val="14"/>
      <color rgb="FF000000"/>
      <name val="Cambria"/>
      <family val="1"/>
      <charset val="1"/>
    </font>
    <font>
      <sz val="12"/>
      <color theme="1"/>
      <name val="Arial"/>
      <family val="2"/>
      <charset val="1"/>
    </font>
    <font>
      <i/>
      <sz val="13"/>
      <color theme="1"/>
      <name val="Arial"/>
      <family val="2"/>
      <charset val="1"/>
    </font>
    <font>
      <sz val="13"/>
      <color rgb="FF000000"/>
      <name val="Arial"/>
      <family val="2"/>
      <charset val="1"/>
    </font>
    <font>
      <b/>
      <sz val="13"/>
      <color rgb="FF000000"/>
      <name val="Arial"/>
      <family val="2"/>
      <charset val="1"/>
    </font>
    <font>
      <i/>
      <sz val="12"/>
      <color theme="1"/>
      <name val="Arial"/>
      <family val="2"/>
      <charset val="1"/>
    </font>
    <font>
      <i/>
      <sz val="12"/>
      <color rgb="FF000000"/>
      <name val="Arial"/>
      <family val="2"/>
      <charset val="1"/>
    </font>
    <font>
      <b/>
      <sz val="13"/>
      <color rgb="FF000000"/>
      <name val="Cambria"/>
      <family val="1"/>
      <charset val="1"/>
    </font>
    <font>
      <sz val="13"/>
      <color rgb="FF000000"/>
      <name val="Cambria"/>
      <family val="1"/>
      <charset val="1"/>
    </font>
    <font>
      <i/>
      <sz val="11"/>
      <color theme="1"/>
      <name val="Arial"/>
      <family val="2"/>
      <charset val="1"/>
    </font>
    <font>
      <b/>
      <sz val="11"/>
      <name val="Arial"/>
      <family val="2"/>
      <charset val="163"/>
    </font>
    <font>
      <i/>
      <sz val="13"/>
      <color rgb="FFFF0000"/>
      <name val="Arial"/>
      <family val="2"/>
      <charset val="1"/>
    </font>
    <font>
      <i/>
      <sz val="11"/>
      <color rgb="FFFF0000"/>
      <name val="Arial"/>
      <family val="2"/>
      <charset val="1"/>
    </font>
    <font>
      <b/>
      <sz val="11"/>
      <color rgb="FF0000FF"/>
      <name val="Arial"/>
      <family val="2"/>
      <charset val="163"/>
    </font>
    <font>
      <sz val="10"/>
      <name val="Arial"/>
      <family val="2"/>
    </font>
    <font>
      <sz val="13"/>
      <color rgb="FF000000"/>
      <name val="Arial"/>
      <family val="2"/>
      <charset val="163"/>
    </font>
    <font>
      <sz val="13"/>
      <color theme="1"/>
      <name val="Arial"/>
      <family val="2"/>
      <charset val="163"/>
    </font>
  </fonts>
  <fills count="8">
    <fill>
      <patternFill patternType="none"/>
    </fill>
    <fill>
      <patternFill patternType="gray125"/>
    </fill>
    <fill>
      <patternFill patternType="solid">
        <fgColor rgb="FFFFFFFF"/>
        <bgColor rgb="FFFFFFCC"/>
      </patternFill>
    </fill>
    <fill>
      <patternFill patternType="solid">
        <fgColor rgb="FF92D050"/>
        <bgColor rgb="FFC0C0C0"/>
      </patternFill>
    </fill>
    <fill>
      <patternFill patternType="solid">
        <fgColor theme="4"/>
        <bgColor rgb="FF666699"/>
      </patternFill>
    </fill>
    <fill>
      <patternFill patternType="solid">
        <fgColor rgb="FFFFC000"/>
        <bgColor rgb="FFFF9900"/>
      </patternFill>
    </fill>
    <fill>
      <patternFill patternType="solid">
        <fgColor theme="8" tint="0.79979857783745845"/>
        <bgColor rgb="FFCCFFFF"/>
      </patternFill>
    </fill>
    <fill>
      <patternFill patternType="solid">
        <fgColor rgb="FFFFFF00"/>
        <bgColor rgb="FFFFFF00"/>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style="thin">
        <color auto="1"/>
      </right>
      <top style="thin">
        <color auto="1"/>
      </top>
      <bottom/>
      <diagonal/>
    </border>
  </borders>
  <cellStyleXfs count="2">
    <xf numFmtId="0" fontId="0" fillId="0" borderId="0"/>
    <xf numFmtId="0" fontId="1" fillId="0" borderId="0"/>
  </cellStyleXfs>
  <cellXfs count="102">
    <xf numFmtId="0" fontId="0" fillId="0" borderId="0" xfId="0"/>
    <xf numFmtId="0" fontId="6" fillId="0" borderId="1" xfId="0" applyFont="1" applyBorder="1" applyAlignment="1">
      <alignment horizontal="center" vertical="center" wrapText="1"/>
    </xf>
    <xf numFmtId="0" fontId="12" fillId="2" borderId="1" xfId="0" applyFont="1" applyFill="1" applyBorder="1" applyAlignment="1">
      <alignment horizontal="left" vertical="center"/>
    </xf>
    <xf numFmtId="0" fontId="6" fillId="0" borderId="1" xfId="0" applyFont="1" applyBorder="1" applyAlignment="1">
      <alignment horizontal="left" vertical="center" wrapText="1"/>
    </xf>
    <xf numFmtId="0" fontId="5" fillId="0" borderId="1" xfId="0" applyFont="1" applyBorder="1" applyAlignment="1">
      <alignment horizontal="left" vertical="center" wrapText="1"/>
    </xf>
    <xf numFmtId="0" fontId="5" fillId="0" borderId="1" xfId="0" applyFont="1" applyBorder="1" applyAlignment="1">
      <alignment horizontal="center" vertical="center" wrapText="1"/>
    </xf>
    <xf numFmtId="0" fontId="5" fillId="0" borderId="1" xfId="0" applyFont="1" applyBorder="1" applyAlignment="1">
      <alignment horizontal="center"/>
    </xf>
    <xf numFmtId="0" fontId="0" fillId="0" borderId="0" xfId="0" applyAlignment="1">
      <alignment horizontal="center"/>
    </xf>
    <xf numFmtId="0" fontId="2" fillId="0" borderId="0" xfId="0" applyFont="1"/>
    <xf numFmtId="0" fontId="0" fillId="0" borderId="1" xfId="0" applyBorder="1"/>
    <xf numFmtId="0" fontId="3" fillId="0" borderId="0" xfId="0" applyFont="1"/>
    <xf numFmtId="0" fontId="0" fillId="0" borderId="1" xfId="0" applyBorder="1" applyAlignment="1">
      <alignment horizontal="center"/>
    </xf>
    <xf numFmtId="0" fontId="0" fillId="0" borderId="0" xfId="0" applyAlignment="1">
      <alignment horizontal="left"/>
    </xf>
    <xf numFmtId="0" fontId="4" fillId="2" borderId="0" xfId="0" applyFont="1" applyFill="1" applyAlignment="1">
      <alignment horizontal="center" vertical="center"/>
    </xf>
    <xf numFmtId="0" fontId="5" fillId="0" borderId="0" xfId="0" applyFont="1" applyAlignment="1">
      <alignment horizontal="left" vertical="center"/>
    </xf>
    <xf numFmtId="0" fontId="6" fillId="0" borderId="0" xfId="0" applyFont="1" applyAlignment="1">
      <alignment horizontal="center" vertical="center"/>
    </xf>
    <xf numFmtId="0" fontId="6" fillId="0" borderId="0" xfId="0" applyFont="1" applyAlignment="1">
      <alignment horizontal="center"/>
    </xf>
    <xf numFmtId="0" fontId="6" fillId="0" borderId="0" xfId="0" applyFont="1" applyAlignment="1">
      <alignment horizontal="left"/>
    </xf>
    <xf numFmtId="0" fontId="6" fillId="0" borderId="0" xfId="0" applyFont="1"/>
    <xf numFmtId="0" fontId="6" fillId="0" borderId="1" xfId="0" applyFont="1" applyBorder="1" applyAlignment="1">
      <alignment horizontal="center"/>
    </xf>
    <xf numFmtId="0" fontId="4" fillId="2" borderId="1" xfId="0" applyFont="1" applyFill="1" applyBorder="1" applyAlignment="1">
      <alignment horizontal="center" vertical="center"/>
    </xf>
    <xf numFmtId="0" fontId="5" fillId="4" borderId="1" xfId="0" applyFont="1" applyFill="1" applyBorder="1" applyAlignment="1">
      <alignment horizontal="center" vertical="center" wrapText="1"/>
    </xf>
    <xf numFmtId="0" fontId="7" fillId="4" borderId="1" xfId="0" applyFont="1" applyFill="1" applyBorder="1" applyAlignment="1">
      <alignment horizontal="center" vertical="center"/>
    </xf>
    <xf numFmtId="0" fontId="7" fillId="5" borderId="1" xfId="0" applyFont="1" applyFill="1" applyBorder="1" applyAlignment="1">
      <alignment horizontal="center" vertical="center"/>
    </xf>
    <xf numFmtId="0" fontId="7" fillId="2" borderId="2" xfId="0" applyFont="1" applyFill="1" applyBorder="1" applyAlignment="1">
      <alignment horizontal="center" vertical="center"/>
    </xf>
    <xf numFmtId="0" fontId="8" fillId="5" borderId="1" xfId="0" applyFont="1" applyFill="1" applyBorder="1" applyAlignment="1">
      <alignment horizontal="center" vertical="center"/>
    </xf>
    <xf numFmtId="0" fontId="9" fillId="2" borderId="1" xfId="0" applyFont="1" applyFill="1" applyBorder="1" applyAlignment="1">
      <alignment horizontal="center" vertical="center"/>
    </xf>
    <xf numFmtId="0" fontId="5" fillId="2" borderId="1" xfId="0" applyFont="1" applyFill="1" applyBorder="1" applyAlignment="1">
      <alignment horizontal="center" vertical="center" wrapText="1"/>
    </xf>
    <xf numFmtId="0" fontId="7" fillId="2" borderId="1" xfId="0" applyFont="1" applyFill="1" applyBorder="1" applyAlignment="1">
      <alignment horizontal="center" vertical="center"/>
    </xf>
    <xf numFmtId="0" fontId="7" fillId="5" borderId="1" xfId="0" applyFont="1" applyFill="1" applyBorder="1" applyAlignment="1">
      <alignment horizontal="left" vertical="center"/>
    </xf>
    <xf numFmtId="0" fontId="7" fillId="2" borderId="2" xfId="0" applyFont="1" applyFill="1" applyBorder="1" applyAlignment="1">
      <alignment horizontal="left" vertical="center"/>
    </xf>
    <xf numFmtId="0" fontId="10" fillId="2" borderId="1" xfId="0" applyFont="1" applyFill="1" applyBorder="1"/>
    <xf numFmtId="0" fontId="6" fillId="5" borderId="1" xfId="0" applyFont="1" applyFill="1" applyBorder="1" applyAlignment="1">
      <alignment horizontal="left" vertical="center" wrapText="1"/>
    </xf>
    <xf numFmtId="0" fontId="6" fillId="2" borderId="2" xfId="0" applyFont="1" applyFill="1" applyBorder="1" applyAlignment="1">
      <alignment horizontal="left" vertical="center" wrapText="1"/>
    </xf>
    <xf numFmtId="0" fontId="6" fillId="0" borderId="1" xfId="0" applyFont="1" applyBorder="1" applyAlignment="1">
      <alignment horizontal="center" vertical="center"/>
    </xf>
    <xf numFmtId="0" fontId="6" fillId="0" borderId="3" xfId="0" applyFont="1" applyBorder="1" applyAlignment="1">
      <alignment horizontal="left" vertical="center" wrapText="1"/>
    </xf>
    <xf numFmtId="0" fontId="11" fillId="0" borderId="1" xfId="0" applyFont="1" applyBorder="1" applyAlignment="1">
      <alignment horizontal="center" vertical="center" wrapText="1"/>
    </xf>
    <xf numFmtId="0" fontId="6" fillId="5" borderId="1" xfId="0" applyFont="1" applyFill="1" applyBorder="1" applyAlignment="1">
      <alignment horizontal="left" vertical="center"/>
    </xf>
    <xf numFmtId="0" fontId="6" fillId="0" borderId="2" xfId="0" applyFont="1" applyBorder="1" applyAlignment="1">
      <alignment horizontal="left" vertical="center" wrapText="1"/>
    </xf>
    <xf numFmtId="0" fontId="4" fillId="2" borderId="4" xfId="0" applyFont="1" applyFill="1" applyBorder="1" applyAlignment="1">
      <alignment horizontal="center" vertical="center"/>
    </xf>
    <xf numFmtId="0" fontId="13" fillId="2" borderId="1" xfId="0" applyFont="1" applyFill="1" applyBorder="1" applyAlignment="1">
      <alignment horizontal="left" vertical="center"/>
    </xf>
    <xf numFmtId="0" fontId="5" fillId="0" borderId="1" xfId="0" applyFont="1" applyBorder="1" applyAlignment="1">
      <alignment horizontal="center" vertical="center"/>
    </xf>
    <xf numFmtId="0" fontId="5" fillId="0" borderId="3" xfId="0" applyFont="1" applyBorder="1" applyAlignment="1">
      <alignment horizontal="left" vertical="center" wrapText="1"/>
    </xf>
    <xf numFmtId="0" fontId="14" fillId="0" borderId="1" xfId="0" applyFont="1" applyBorder="1"/>
    <xf numFmtId="0" fontId="15" fillId="2" borderId="4" xfId="0" applyFont="1" applyFill="1" applyBorder="1" applyAlignment="1">
      <alignment horizontal="left" vertical="center"/>
    </xf>
    <xf numFmtId="0" fontId="6" fillId="0" borderId="4" xfId="0" applyFont="1" applyBorder="1"/>
    <xf numFmtId="0" fontId="12" fillId="2" borderId="4" xfId="0" applyFont="1" applyFill="1" applyBorder="1" applyAlignment="1">
      <alignment horizontal="left" vertical="center"/>
    </xf>
    <xf numFmtId="0" fontId="9" fillId="2" borderId="4" xfId="0" applyFont="1" applyFill="1" applyBorder="1" applyAlignment="1">
      <alignment horizontal="center" vertical="center"/>
    </xf>
    <xf numFmtId="0" fontId="14" fillId="0" borderId="4" xfId="0" applyFont="1" applyBorder="1"/>
    <xf numFmtId="0" fontId="5" fillId="3" borderId="3" xfId="0" applyFont="1" applyFill="1" applyBorder="1" applyAlignment="1">
      <alignment horizontal="left" vertical="center" wrapText="1"/>
    </xf>
    <xf numFmtId="0" fontId="5" fillId="0" borderId="0" xfId="0" applyFont="1"/>
    <xf numFmtId="0" fontId="16" fillId="2" borderId="4" xfId="0" applyFont="1" applyFill="1" applyBorder="1" applyAlignment="1">
      <alignment horizontal="center" vertical="center"/>
    </xf>
    <xf numFmtId="0" fontId="5" fillId="0" borderId="4" xfId="0" applyFont="1" applyBorder="1"/>
    <xf numFmtId="0" fontId="13" fillId="2" borderId="4" xfId="0" applyFont="1" applyFill="1" applyBorder="1" applyAlignment="1">
      <alignment horizontal="left" vertical="center"/>
    </xf>
    <xf numFmtId="0" fontId="5" fillId="5" borderId="1" xfId="0" applyFont="1" applyFill="1" applyBorder="1" applyAlignment="1">
      <alignment horizontal="left" vertical="center"/>
    </xf>
    <xf numFmtId="0" fontId="17" fillId="2" borderId="1" xfId="0" applyFont="1" applyFill="1" applyBorder="1" applyAlignment="1">
      <alignment horizontal="center" vertical="center"/>
    </xf>
    <xf numFmtId="0" fontId="6" fillId="0" borderId="1" xfId="0" applyFont="1" applyBorder="1"/>
    <xf numFmtId="0" fontId="4" fillId="2" borderId="6" xfId="0" applyFont="1" applyFill="1" applyBorder="1" applyAlignment="1">
      <alignment horizontal="center" vertical="center"/>
    </xf>
    <xf numFmtId="0" fontId="18" fillId="0" borderId="8" xfId="0" applyFont="1" applyBorder="1"/>
    <xf numFmtId="0" fontId="6" fillId="0" borderId="7" xfId="0" applyFont="1" applyBorder="1"/>
    <xf numFmtId="0" fontId="18" fillId="0" borderId="5" xfId="0" applyFont="1" applyBorder="1"/>
    <xf numFmtId="0" fontId="18" fillId="0" borderId="9" xfId="0" applyFont="1" applyBorder="1"/>
    <xf numFmtId="0" fontId="6" fillId="0" borderId="5" xfId="0" applyFont="1" applyBorder="1"/>
    <xf numFmtId="0" fontId="5" fillId="0" borderId="1" xfId="0" applyFont="1" applyBorder="1"/>
    <xf numFmtId="0" fontId="5" fillId="0" borderId="5" xfId="0" applyFont="1" applyBorder="1"/>
    <xf numFmtId="0" fontId="5" fillId="0" borderId="2" xfId="0" applyFont="1" applyBorder="1" applyAlignment="1">
      <alignment horizontal="left" vertical="center" wrapText="1"/>
    </xf>
    <xf numFmtId="0" fontId="11" fillId="0" borderId="1" xfId="0" applyFont="1" applyBorder="1" applyAlignment="1">
      <alignment vertical="center" wrapText="1"/>
    </xf>
    <xf numFmtId="0" fontId="11" fillId="0" borderId="1" xfId="0" applyFont="1" applyBorder="1" applyAlignment="1">
      <alignment horizontal="left" vertical="center" wrapText="1"/>
    </xf>
    <xf numFmtId="0" fontId="10" fillId="0" borderId="0" xfId="0" applyFont="1"/>
    <xf numFmtId="0" fontId="19" fillId="0" borderId="0" xfId="0" applyFont="1"/>
    <xf numFmtId="0" fontId="19" fillId="0" borderId="0" xfId="0" applyFont="1" applyAlignment="1">
      <alignment horizontal="center"/>
    </xf>
    <xf numFmtId="0" fontId="21" fillId="0" borderId="0" xfId="0" applyFont="1" applyAlignment="1">
      <alignment horizontal="left" vertical="center" wrapText="1"/>
    </xf>
    <xf numFmtId="14" fontId="22" fillId="7" borderId="1" xfId="0" applyNumberFormat="1" applyFont="1" applyFill="1" applyBorder="1" applyAlignment="1">
      <alignment horizontal="center"/>
    </xf>
    <xf numFmtId="0" fontId="25" fillId="2" borderId="1" xfId="0" applyFont="1" applyFill="1" applyBorder="1" applyAlignment="1">
      <alignment horizontal="center" vertical="center" wrapText="1"/>
    </xf>
    <xf numFmtId="0" fontId="25" fillId="2" borderId="1" xfId="0" applyFont="1" applyFill="1" applyBorder="1" applyAlignment="1">
      <alignment horizontal="center" vertical="center"/>
    </xf>
    <xf numFmtId="0" fontId="25" fillId="0" borderId="1" xfId="0" applyFont="1" applyBorder="1" applyAlignment="1">
      <alignment horizontal="center" vertical="center" wrapText="1"/>
    </xf>
    <xf numFmtId="0" fontId="25" fillId="0" borderId="1" xfId="0" applyFont="1" applyBorder="1" applyAlignment="1">
      <alignment horizontal="center" vertical="center"/>
    </xf>
    <xf numFmtId="0" fontId="24" fillId="2" borderId="1" xfId="0" applyFont="1" applyFill="1" applyBorder="1" applyAlignment="1">
      <alignment horizontal="center" vertical="center"/>
    </xf>
    <xf numFmtId="0" fontId="25" fillId="0" borderId="5" xfId="0" applyFont="1" applyBorder="1" applyAlignment="1">
      <alignment horizontal="center"/>
    </xf>
    <xf numFmtId="0" fontId="25" fillId="0" borderId="1" xfId="0" applyFont="1" applyBorder="1" applyAlignment="1">
      <alignment horizontal="center"/>
    </xf>
    <xf numFmtId="0" fontId="5" fillId="3" borderId="1" xfId="0" applyFont="1" applyFill="1" applyBorder="1" applyAlignment="1">
      <alignment horizontal="center"/>
    </xf>
    <xf numFmtId="0" fontId="5" fillId="0" borderId="1" xfId="0" applyFont="1" applyBorder="1" applyAlignment="1">
      <alignment horizontal="center"/>
    </xf>
    <xf numFmtId="0" fontId="5" fillId="0" borderId="1" xfId="0" applyFont="1" applyBorder="1" applyAlignment="1">
      <alignment horizontal="center" vertical="center" wrapText="1"/>
    </xf>
    <xf numFmtId="0" fontId="5" fillId="2" borderId="1" xfId="0" applyFont="1" applyFill="1" applyBorder="1" applyAlignment="1">
      <alignment horizontal="left" vertical="center" wrapText="1"/>
    </xf>
    <xf numFmtId="0" fontId="6" fillId="6" borderId="1" xfId="0" applyFont="1" applyFill="1" applyBorder="1" applyAlignment="1">
      <alignment horizontal="left" vertical="center" wrapText="1"/>
    </xf>
    <xf numFmtId="0" fontId="6" fillId="2" borderId="1" xfId="0" applyFont="1" applyFill="1" applyBorder="1" applyAlignment="1">
      <alignment horizontal="left" vertical="center" wrapText="1"/>
    </xf>
    <xf numFmtId="0" fontId="5" fillId="0" borderId="1" xfId="0" applyFont="1" applyBorder="1" applyAlignment="1">
      <alignment horizontal="left" vertical="center" wrapText="1"/>
    </xf>
    <xf numFmtId="0" fontId="6" fillId="0" borderId="1" xfId="0" applyFont="1" applyBorder="1" applyAlignment="1">
      <alignment horizontal="left" vertical="center" wrapText="1"/>
    </xf>
    <xf numFmtId="0" fontId="12" fillId="2" borderId="5" xfId="0" applyFont="1" applyFill="1" applyBorder="1" applyAlignment="1">
      <alignment horizontal="left" vertical="center"/>
    </xf>
    <xf numFmtId="0" fontId="12" fillId="2" borderId="1" xfId="0" applyFont="1" applyFill="1" applyBorder="1" applyAlignment="1">
      <alignment horizontal="left" vertical="center"/>
    </xf>
    <xf numFmtId="0" fontId="6" fillId="0" borderId="7" xfId="0" applyFont="1" applyBorder="1" applyAlignment="1">
      <alignment horizontal="left" wrapText="1"/>
    </xf>
    <xf numFmtId="0" fontId="5" fillId="3" borderId="3" xfId="0" applyFont="1" applyFill="1" applyBorder="1" applyAlignment="1">
      <alignment horizontal="left" vertical="center" wrapText="1"/>
    </xf>
    <xf numFmtId="0" fontId="20" fillId="0" borderId="0" xfId="0" applyFont="1" applyAlignment="1">
      <alignment horizontal="center"/>
    </xf>
    <xf numFmtId="0" fontId="6" fillId="0" borderId="1" xfId="0" applyFont="1" applyBorder="1" applyAlignment="1">
      <alignment horizontal="center" vertical="center" wrapText="1"/>
    </xf>
    <xf numFmtId="0" fontId="6" fillId="0" borderId="8" xfId="0" applyFont="1" applyBorder="1" applyAlignment="1">
      <alignment horizontal="left" vertical="center" wrapText="1"/>
    </xf>
    <xf numFmtId="0" fontId="5" fillId="3" borderId="1" xfId="0" applyFont="1" applyFill="1" applyBorder="1" applyAlignment="1">
      <alignment horizontal="center" vertical="center" wrapText="1"/>
    </xf>
    <xf numFmtId="0" fontId="4" fillId="2" borderId="4" xfId="0" applyFont="1" applyFill="1" applyBorder="1" applyAlignment="1">
      <alignment horizontal="center" vertical="center"/>
    </xf>
    <xf numFmtId="0" fontId="6" fillId="0" borderId="4" xfId="0" applyFont="1" applyBorder="1" applyAlignment="1">
      <alignment horizontal="center" vertical="center" wrapText="1"/>
    </xf>
    <xf numFmtId="0" fontId="5" fillId="3" borderId="2" xfId="0" applyFont="1" applyFill="1" applyBorder="1" applyAlignment="1">
      <alignment horizontal="left" vertical="center" wrapText="1"/>
    </xf>
    <xf numFmtId="0" fontId="2"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center"/>
    </xf>
  </cellXfs>
  <cellStyles count="2">
    <cellStyle name="Normal" xfId="0" builtinId="0"/>
    <cellStyle name="Normal 2" xfId="1" xr:uid="{00000000-0005-0000-0000-000006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2D050"/>
      <rgbColor rgb="FFFFC0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4"/>
  <sheetViews>
    <sheetView zoomScaleNormal="100" workbookViewId="0">
      <selection activeCell="C14" sqref="C14"/>
    </sheetView>
  </sheetViews>
  <sheetFormatPr defaultColWidth="8.59765625" defaultRowHeight="13.8" x14ac:dyDescent="0.25"/>
  <cols>
    <col min="1" max="1" width="4.19921875" style="7" customWidth="1"/>
    <col min="2" max="3" width="30.69921875" customWidth="1"/>
    <col min="4" max="4" width="36.19921875" customWidth="1"/>
    <col min="5" max="5" width="51" customWidth="1"/>
  </cols>
  <sheetData>
    <row r="1" spans="1:5" ht="15" customHeight="1" x14ac:dyDescent="0.25">
      <c r="B1" s="8" t="s">
        <v>0</v>
      </c>
    </row>
    <row r="3" spans="1:5" ht="14.25" customHeight="1" x14ac:dyDescent="0.25">
      <c r="A3" s="99" t="s">
        <v>1</v>
      </c>
      <c r="B3" s="99" t="s">
        <v>2</v>
      </c>
      <c r="C3" s="99" t="s">
        <v>3</v>
      </c>
      <c r="D3" s="99" t="s">
        <v>4</v>
      </c>
    </row>
    <row r="4" spans="1:5" ht="14.25" customHeight="1" x14ac:dyDescent="0.25">
      <c r="A4" s="99"/>
      <c r="B4" s="99"/>
      <c r="C4" s="99"/>
      <c r="D4" s="99"/>
    </row>
    <row r="5" spans="1:5" ht="14.25" customHeight="1" x14ac:dyDescent="0.25">
      <c r="A5" s="100">
        <v>1</v>
      </c>
      <c r="B5" s="101" t="s">
        <v>5</v>
      </c>
      <c r="C5" s="9" t="s">
        <v>6</v>
      </c>
      <c r="D5" s="9" t="s">
        <v>7</v>
      </c>
    </row>
    <row r="6" spans="1:5" ht="14.25" customHeight="1" x14ac:dyDescent="0.25">
      <c r="A6" s="100"/>
      <c r="B6" s="100"/>
      <c r="C6" s="9" t="s">
        <v>8</v>
      </c>
      <c r="D6" s="9" t="s">
        <v>9</v>
      </c>
      <c r="E6" s="10"/>
    </row>
    <row r="7" spans="1:5" ht="14.25" customHeight="1" x14ac:dyDescent="0.25">
      <c r="A7" s="100"/>
      <c r="B7" s="100"/>
      <c r="C7" s="9" t="s">
        <v>10</v>
      </c>
      <c r="D7" s="9" t="s">
        <v>11</v>
      </c>
    </row>
    <row r="8" spans="1:5" ht="14.25" customHeight="1" x14ac:dyDescent="0.25">
      <c r="A8" s="11">
        <v>2</v>
      </c>
      <c r="B8" s="9" t="s">
        <v>12</v>
      </c>
      <c r="C8" s="9" t="s">
        <v>13</v>
      </c>
      <c r="D8" s="9" t="s">
        <v>14</v>
      </c>
    </row>
    <row r="9" spans="1:5" ht="14.25" customHeight="1" x14ac:dyDescent="0.25">
      <c r="A9" s="11"/>
      <c r="B9" s="9"/>
      <c r="C9" s="9"/>
      <c r="D9" s="9"/>
    </row>
    <row r="10" spans="1:5" ht="14.25" customHeight="1" x14ac:dyDescent="0.25">
      <c r="A10" s="11"/>
      <c r="B10" s="9"/>
      <c r="C10" s="9"/>
      <c r="D10" s="9"/>
    </row>
    <row r="11" spans="1:5" ht="14.25" customHeight="1" x14ac:dyDescent="0.25">
      <c r="A11" s="11"/>
      <c r="B11" s="9"/>
      <c r="C11" s="9"/>
      <c r="D11" s="9"/>
    </row>
    <row r="12" spans="1:5" ht="14.25" customHeight="1" x14ac:dyDescent="0.25">
      <c r="A12" s="11"/>
      <c r="B12" s="9"/>
      <c r="C12" s="9"/>
      <c r="D12" s="9"/>
    </row>
    <row r="13" spans="1:5" ht="14.25" customHeight="1" x14ac:dyDescent="0.25">
      <c r="A13" s="11"/>
      <c r="B13" s="9"/>
      <c r="C13" s="9"/>
      <c r="D13" s="9"/>
    </row>
    <row r="14" spans="1:5" ht="14.25" customHeight="1" x14ac:dyDescent="0.25">
      <c r="A14" s="11"/>
      <c r="B14" s="9"/>
      <c r="C14" s="9"/>
      <c r="D14" s="9"/>
    </row>
  </sheetData>
  <mergeCells count="6">
    <mergeCell ref="A3:A4"/>
    <mergeCell ref="B3:B4"/>
    <mergeCell ref="C3:C4"/>
    <mergeCell ref="D3:D4"/>
    <mergeCell ref="A5:A7"/>
    <mergeCell ref="B5:B7"/>
  </mergeCells>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P56"/>
  <sheetViews>
    <sheetView zoomScale="80" zoomScaleNormal="80" workbookViewId="0">
      <pane ySplit="4" topLeftCell="A5" activePane="bottomLeft" state="frozen"/>
      <selection pane="bottomLeft" activeCell="F37" sqref="F37"/>
    </sheetView>
  </sheetViews>
  <sheetFormatPr defaultColWidth="8.59765625" defaultRowHeight="13.8" x14ac:dyDescent="0.25"/>
  <cols>
    <col min="3" max="3" width="47" customWidth="1"/>
    <col min="4" max="4" width="30.69921875" customWidth="1"/>
    <col min="5" max="5" width="10.09765625" style="7" customWidth="1"/>
    <col min="6" max="10" width="8.8984375" style="7" customWidth="1"/>
    <col min="11" max="11" width="9" style="12" customWidth="1"/>
    <col min="12" max="14" width="6.3984375" style="12" customWidth="1"/>
    <col min="15" max="15" width="45.3984375" style="12" customWidth="1"/>
    <col min="16" max="16" width="72.19921875" customWidth="1"/>
  </cols>
  <sheetData>
    <row r="2" spans="2:16" ht="18" customHeight="1" x14ac:dyDescent="0.3">
      <c r="B2" s="13"/>
      <c r="C2" s="14" t="s">
        <v>15</v>
      </c>
      <c r="D2" s="15"/>
      <c r="E2" s="15"/>
      <c r="F2" s="15"/>
      <c r="G2" s="15"/>
      <c r="H2" s="15"/>
      <c r="I2" s="16"/>
      <c r="J2" s="16"/>
      <c r="K2" s="17"/>
      <c r="L2" s="17"/>
      <c r="M2" s="17"/>
      <c r="N2" s="17"/>
      <c r="O2" s="17"/>
    </row>
    <row r="3" spans="2:16" ht="18.75" customHeight="1" x14ac:dyDescent="0.3">
      <c r="B3" s="13"/>
      <c r="C3" s="18" t="s">
        <v>16</v>
      </c>
      <c r="D3" s="18"/>
      <c r="E3" s="19"/>
      <c r="F3" s="80" t="s">
        <v>17</v>
      </c>
      <c r="G3" s="80"/>
      <c r="H3" s="80"/>
      <c r="I3" s="80"/>
      <c r="J3" s="80"/>
      <c r="K3" s="81" t="s">
        <v>2</v>
      </c>
      <c r="L3" s="81"/>
      <c r="M3" s="81"/>
      <c r="N3" s="81"/>
      <c r="O3" s="17"/>
    </row>
    <row r="4" spans="2:16" ht="29.25" customHeight="1" x14ac:dyDescent="0.25">
      <c r="B4" s="20" t="s">
        <v>18</v>
      </c>
      <c r="C4" s="82" t="s">
        <v>19</v>
      </c>
      <c r="D4" s="82"/>
      <c r="E4" s="5" t="s">
        <v>20</v>
      </c>
      <c r="F4" s="21" t="s">
        <v>21</v>
      </c>
      <c r="G4" s="21" t="s">
        <v>22</v>
      </c>
      <c r="H4" s="21" t="s">
        <v>23</v>
      </c>
      <c r="I4" s="22" t="s">
        <v>24</v>
      </c>
      <c r="J4" s="22" t="s">
        <v>25</v>
      </c>
      <c r="K4" s="23" t="s">
        <v>26</v>
      </c>
      <c r="L4" s="23" t="s">
        <v>27</v>
      </c>
      <c r="M4" s="23" t="s">
        <v>28</v>
      </c>
      <c r="N4" s="23" t="s">
        <v>29</v>
      </c>
      <c r="O4" s="24" t="s">
        <v>30</v>
      </c>
      <c r="P4" s="25" t="s">
        <v>31</v>
      </c>
    </row>
    <row r="5" spans="2:16" ht="33.75" customHeight="1" x14ac:dyDescent="0.25">
      <c r="B5" s="26" t="s">
        <v>32</v>
      </c>
      <c r="C5" s="83" t="s">
        <v>33</v>
      </c>
      <c r="D5" s="83"/>
      <c r="E5" s="27"/>
      <c r="F5" s="27"/>
      <c r="G5" s="27"/>
      <c r="H5" s="27"/>
      <c r="I5" s="28"/>
      <c r="J5" s="28"/>
      <c r="K5" s="29"/>
      <c r="L5" s="29"/>
      <c r="M5" s="29"/>
      <c r="N5" s="29"/>
      <c r="O5" s="30"/>
      <c r="P5" s="31"/>
    </row>
    <row r="6" spans="2:16" ht="33" customHeight="1" x14ac:dyDescent="0.25">
      <c r="B6" s="20">
        <v>1</v>
      </c>
      <c r="C6" s="84" t="s">
        <v>34</v>
      </c>
      <c r="D6" s="84"/>
      <c r="E6" s="73" t="e" cm="1">
        <f t="array" ref="E6">SUMPRODUCT((#REF!="Về nhà")*(#REF!=""))</f>
        <v>#REF!</v>
      </c>
      <c r="F6" s="73" t="e" cm="1">
        <f t="array" ref="F6">SUMPRODUCT((#REF!="Về nhà")*(#REF!="")*(INDEX(#REF!,MATCH(#REF!,#REF!,0))="Người sử dụng ma túy (PUD)"))</f>
        <v>#REF!</v>
      </c>
      <c r="G6" s="73" t="e" cm="1">
        <f t="array" ref="G6">SUMPRODUCT((#REF!="Về nhà")*(#REF!="")*(INDEX(#REF!,MATCH(#REF!,#REF!,0))="Người sống chung với HIV (PLHIV)"))</f>
        <v>#REF!</v>
      </c>
      <c r="H6" s="73" t="e" cm="1">
        <f t="array" ref="H6">SUMPRODUCT((#REF!="Về nhà")*(#REF!="")*(INDEX(#REF!,MATCH(#REF!,#REF!,0))="Người chuyển giới (TG)"))</f>
        <v>#REF!</v>
      </c>
      <c r="I6" s="74" t="e" cm="1">
        <f t="array" ref="I6">SUMPRODUCT((#REF!="Về nhà")*(#REF!="")*(INDEX(#REF!,MATCH(#REF!,#REF!,0))="Người bán dâm (SW)"))</f>
        <v>#REF!</v>
      </c>
      <c r="J6" s="74" t="e" cm="1">
        <f t="array" ref="J6">SUMPRODUCT((#REF!="Về nhà")*(#REF!="")*(INDEX(#REF!,MATCH(#REF!,#REF!,0))="Nam quan hệ tình dục đồng giới (MSM)"))</f>
        <v>#REF!</v>
      </c>
      <c r="K6" s="32"/>
      <c r="L6" s="32" t="s">
        <v>35</v>
      </c>
      <c r="M6" s="32" t="s">
        <v>35</v>
      </c>
      <c r="N6" s="32" t="s">
        <v>35</v>
      </c>
      <c r="O6" s="33" t="s">
        <v>36</v>
      </c>
      <c r="P6" s="31"/>
    </row>
    <row r="7" spans="2:16" ht="34.5" customHeight="1" x14ac:dyDescent="0.25">
      <c r="B7" s="20">
        <v>2</v>
      </c>
      <c r="C7" s="85" t="s">
        <v>37</v>
      </c>
      <c r="D7" s="85"/>
      <c r="E7" s="73" t="e" cm="1">
        <f t="array" ref="E7">SUMPRODUCT((#REF!="Về nhà")*(#REF!=""))</f>
        <v>#REF!</v>
      </c>
      <c r="F7" s="73" t="e" cm="1">
        <f t="array" ref="F7">SUMPRODUCT((#REF!="Về nhà")*(#REF!="")*(INDEX(#REF!,MATCH(#REF!,#REF!,0))="Người sử dụng ma túy (PUD)"))</f>
        <v>#REF!</v>
      </c>
      <c r="G7" s="73" t="e" cm="1">
        <f t="array" ref="G7">SUMPRODUCT((#REF!="Về nhà")*(#REF!="")*(INDEX(#REF!,MATCH(#REF!,#REF!,0))="Người sống chung với HIV (PLHIV)"))</f>
        <v>#REF!</v>
      </c>
      <c r="H7" s="73" t="e" cm="1">
        <f t="array" ref="H7">SUMPRODUCT((#REF!="Về nhà")*(#REF!="")*(INDEX(#REF!,MATCH(#REF!,#REF!,0))="Người chuyển giới (TG)"))</f>
        <v>#REF!</v>
      </c>
      <c r="I7" s="74" t="e" cm="1">
        <f t="array" ref="I7">SUMPRODUCT((#REF!="Về nhà")*(#REF!="")*(INDEX(#REF!,MATCH(#REF!,#REF!,0))="Người bán dâm (SW)"))</f>
        <v>#REF!</v>
      </c>
      <c r="J7" s="74" t="e" cm="1">
        <f t="array" ref="J7">SUMPRODUCT((#REF!="Về nhà")*(#REF!="")*(INDEX(#REF!,MATCH(#REF!,#REF!,0))="Nam quan hệ tình dục đồng giới (MSM)"))</f>
        <v>#REF!</v>
      </c>
      <c r="K7" s="32" t="s">
        <v>35</v>
      </c>
      <c r="L7" s="32" t="s">
        <v>35</v>
      </c>
      <c r="M7" s="32" t="s">
        <v>35</v>
      </c>
      <c r="N7" s="32" t="s">
        <v>35</v>
      </c>
      <c r="O7" s="33" t="s">
        <v>36</v>
      </c>
      <c r="P7" s="31"/>
    </row>
    <row r="8" spans="2:16" ht="18" customHeight="1" x14ac:dyDescent="0.25">
      <c r="B8" s="20">
        <v>3</v>
      </c>
      <c r="C8" s="85" t="s">
        <v>38</v>
      </c>
      <c r="D8" s="85"/>
      <c r="E8" s="75" t="e" cm="1">
        <f t="array" ref="E8">SUMPRODUCT((#REF!="Về nhà")*(#REF!="F9. Theo dấu khách hàng")*(#REF!="Chọn"))</f>
        <v>#REF!</v>
      </c>
      <c r="F8" s="75" t="e" cm="1">
        <f t="array" ref="F8">SUMPRODUCT((#REF!="Về nhà")*(#REF!="F9. Theo dấu khách hàng")*(#REF!="Chọn")*(INDEX(#REF!,MATCH(#REF!,#REF!,0))="Người sử dụng ma túy (PUD)"))</f>
        <v>#REF!</v>
      </c>
      <c r="G8" s="75" t="e" cm="1">
        <f t="array" ref="G8">SUMPRODUCT((#REF!="Về nhà")*(#REF!="F9. Theo dấu khách hàng")*(#REF!="Chọn")*(INDEX(#REF!,MATCH(#REF!,#REF!,0))="Người sống chung với HIV (PLHIV)"))</f>
        <v>#REF!</v>
      </c>
      <c r="H8" s="75" t="e" cm="1">
        <f t="array" ref="H8">SUMPRODUCT((#REF!="Về nhà")*(#REF!="F9. Theo dấu khách hàng")*(#REF!="Chọn")*(INDEX(#REF!,MATCH(#REF!,#REF!,0))="Người chuyển giới (TG)"))</f>
        <v>#REF!</v>
      </c>
      <c r="I8" s="76" t="e" cm="1">
        <f t="array" ref="I8">SUMPRODUCT((#REF!="Về nhà")*(#REF!="F9. Theo dấu khách hàng")*(#REF!="Chọn")*(INDEX(#REF!,MATCH(#REF!,#REF!,0))="Người bán dâm (SW)"))</f>
        <v>#REF!</v>
      </c>
      <c r="J8" s="76" t="e" cm="1">
        <f t="array" ref="J8">SUMPRODUCT((#REF!="Về nhà")*(#REF!="F9. Theo dấu khách hàng")*(#REF!="Chọn")*(INDEX(#REF!,MATCH(#REF!,#REF!,0))="Nam quan hệ tình dục đồng giới (MSM)"))</f>
        <v>#REF!</v>
      </c>
      <c r="K8" s="32"/>
      <c r="L8" s="32" t="s">
        <v>35</v>
      </c>
      <c r="M8" s="32" t="s">
        <v>35</v>
      </c>
      <c r="N8" s="32" t="s">
        <v>35</v>
      </c>
      <c r="O8" s="35" t="s">
        <v>39</v>
      </c>
      <c r="P8" s="31" t="s">
        <v>40</v>
      </c>
    </row>
    <row r="9" spans="2:16" ht="18" customHeight="1" x14ac:dyDescent="0.25">
      <c r="B9" s="26" t="s">
        <v>41</v>
      </c>
      <c r="C9" s="86" t="s">
        <v>42</v>
      </c>
      <c r="D9" s="86"/>
      <c r="E9" s="75"/>
      <c r="F9" s="75"/>
      <c r="G9" s="75"/>
      <c r="H9" s="75"/>
      <c r="I9" s="76"/>
      <c r="J9" s="76"/>
      <c r="K9" s="37"/>
      <c r="L9" s="37"/>
      <c r="M9" s="37"/>
      <c r="N9" s="37"/>
      <c r="O9" s="38"/>
      <c r="P9" s="31"/>
    </row>
    <row r="10" spans="2:16" ht="24" customHeight="1" x14ac:dyDescent="0.25">
      <c r="B10" s="20">
        <v>1</v>
      </c>
      <c r="C10" s="87" t="s">
        <v>43</v>
      </c>
      <c r="D10" s="87"/>
      <c r="E10" s="75" t="e" cm="1">
        <f t="array" ref="E10">SUMPRODUCT((#REF!="Về nhà")*(#REF!="F2. Truyền thông, sinh hoạt nhóm, vòng tròn chia sẻ, trị liệu nghệ thuật")*(#REF!="Truyền thông")*(#REF!=1))</f>
        <v>#REF!</v>
      </c>
      <c r="F10" s="75" t="e" cm="1">
        <f t="array" ref="F10">SUMPRODUCT((#REF!="Về nhà")*(#REF!="F2. Truyền thông, sinh hoạt nhóm, vòng tròn chia sẻ, trị liệu nghệ thuật")*(#REF!="Truyền thông")*(#REF!=1)*(INDEX(#REF!,MATCH(#REF!,#REF!,0))="Người sử dụng ma túy (PUD)"))</f>
        <v>#REF!</v>
      </c>
      <c r="G10" s="75" t="e" cm="1">
        <f t="array" ref="G10">SUMPRODUCT((#REF!="Về nhà")*(#REF!="F2. Truyền thông, sinh hoạt nhóm, vòng tròn chia sẻ, trị liệu nghệ thuật")*(#REF!="Truyền thông")*(#REF!=1)*(INDEX(#REF!,MATCH(#REF!,#REF!,0))="Người sống chung với HIV (PLHIV)"))</f>
        <v>#REF!</v>
      </c>
      <c r="H10" s="75" t="e" cm="1">
        <f t="array" ref="H10">SUMPRODUCT((#REF!="Về nhà")*(#REF!="F2. Truyền thông, sinh hoạt nhóm, vòng tròn chia sẻ, trị liệu nghệ thuật")*(#REF!="Truyền thông")*(#REF!=1)*(INDEX(#REF!,MATCH(#REF!,#REF!,0))="Người chuyển giới (TG)"))</f>
        <v>#REF!</v>
      </c>
      <c r="I10" s="76" t="e" cm="1">
        <f t="array" ref="I10">SUMPRODUCT((#REF!="Về nhà")*(#REF!="F2. Truyền thông, sinh hoạt nhóm, vòng tròn chia sẻ, trị liệu nghệ thuật")*(#REF!="Truyền thông")*(#REF!=1)*(INDEX(#REF!,MATCH(#REF!,#REF!,0))="Người bán dâm (SW)"))</f>
        <v>#REF!</v>
      </c>
      <c r="J10" s="76" t="e" cm="1">
        <f t="array" ref="J10">SUMPRODUCT((#REF!="Về nhà")*(#REF!="F2. Truyền thông, sinh hoạt nhóm, vòng tròn chia sẻ, trị liệu nghệ thuật")*(#REF!="Truyền thông")*(#REF!=1)*(INDEX(#REF!,MATCH(#REF!,#REF!,0))="Nam quan hệ tình dục đồng giới (MSM)"))</f>
        <v>#REF!</v>
      </c>
      <c r="K10" s="37" t="s">
        <v>35</v>
      </c>
      <c r="L10" s="37" t="s">
        <v>35</v>
      </c>
      <c r="M10" s="37" t="s">
        <v>35</v>
      </c>
      <c r="N10" s="37" t="s">
        <v>35</v>
      </c>
      <c r="O10" s="87" t="s">
        <v>44</v>
      </c>
      <c r="P10" s="31"/>
    </row>
    <row r="11" spans="2:16" ht="18" customHeight="1" x14ac:dyDescent="0.25">
      <c r="B11" s="39">
        <v>2</v>
      </c>
      <c r="C11" s="87" t="s">
        <v>45</v>
      </c>
      <c r="D11" s="87"/>
      <c r="E11" s="75" t="e" cm="1">
        <f t="array" ref="E11">SUMPRODUCT((#REF!="Về nhà")*(#REF!="F2. Truyền thông, sinh hoạt nhóm, vòng tròn chia sẻ, trị liệu nghệ thuật")*(#REF!="Truyền thông")*(#REF!=2))</f>
        <v>#REF!</v>
      </c>
      <c r="F11" s="75" t="e" cm="1">
        <f t="array" ref="F11">SUMPRODUCT((#REF!="Về nhà")*(#REF!="F2. Truyền thông, sinh hoạt nhóm, vòng tròn chia sẻ, trị liệu nghệ thuật")*(#REF!="Truyền thông")*(#REF!=2)*(INDEX(#REF!,MATCH(#REF!,#REF!,0))="Người sử dụng ma túy (PUD)"))</f>
        <v>#REF!</v>
      </c>
      <c r="G11" s="75" t="e" cm="1">
        <f t="array" ref="G11">SUMPRODUCT((#REF!="Về nhà")*(#REF!="F2. Truyền thông, sinh hoạt nhóm, vòng tròn chia sẻ, trị liệu nghệ thuật")*(#REF!="Truyền thông")*(#REF!=2)*(INDEX(#REF!,MATCH(#REF!,#REF!,0))="Người sống chung với HIV (PLHIV)"))</f>
        <v>#REF!</v>
      </c>
      <c r="H11" s="75" t="e" cm="1">
        <f t="array" ref="H11">SUMPRODUCT((#REF!="Về nhà")*(#REF!="F2. Truyền thông, sinh hoạt nhóm, vòng tròn chia sẻ, trị liệu nghệ thuật")*(#REF!="Truyền thông")*(#REF!=2)*(INDEX(#REF!,MATCH(#REF!,#REF!,0))="Người chuyển giới (TG)"))</f>
        <v>#REF!</v>
      </c>
      <c r="I11" s="76" t="e" cm="1">
        <f t="array" ref="I11">SUMPRODUCT((#REF!="Về nhà")*(#REF!="F2. Truyền thông, sinh hoạt nhóm, vòng tròn chia sẻ, trị liệu nghệ thuật")*(#REF!="Truyền thông")*(#REF!=2)*(INDEX(#REF!,MATCH(#REF!,#REF!,0))="Người bán dâm (SW)"))</f>
        <v>#REF!</v>
      </c>
      <c r="J11" s="76" t="e" cm="1">
        <f t="array" ref="J11">SUMPRODUCT((#REF!="Về nhà")*(#REF!="F2. Truyền thông, sinh hoạt nhóm, vòng tròn chia sẻ, trị liệu nghệ thuật")*(#REF!="Truyền thông")*(#REF!=2)*(INDEX(#REF!,MATCH(#REF!,#REF!,0))="Nam quan hệ tình dục đồng giới (MSM)"))</f>
        <v>#REF!</v>
      </c>
      <c r="K11" s="37" t="s">
        <v>35</v>
      </c>
      <c r="L11" s="37" t="s">
        <v>35</v>
      </c>
      <c r="M11" s="37" t="s">
        <v>35</v>
      </c>
      <c r="N11" s="37" t="s">
        <v>35</v>
      </c>
      <c r="O11" s="87"/>
      <c r="P11" s="31"/>
    </row>
    <row r="12" spans="2:16" ht="28.5" customHeight="1" x14ac:dyDescent="0.25">
      <c r="B12" s="20">
        <v>3</v>
      </c>
      <c r="C12" s="88" t="s">
        <v>46</v>
      </c>
      <c r="D12" s="88"/>
      <c r="E12" s="77" t="e" cm="1">
        <f t="array" ref="E12">SUMPRODUCT((#REF!="Về nhà")*(#REF!="F2. Truyền thông, sinh hoạt nhóm, vòng tròn chia sẻ, trị liệu nghệ thuật")*(#REF!="Truyền thông"))</f>
        <v>#REF!</v>
      </c>
      <c r="F12" s="77" t="e" cm="1">
        <f t="array" ref="F12">SUMPRODUCT((#REF!="Về nhà")*(#REF!="F2. Truyền thông, sinh hoạt nhóm, vòng tròn chia sẻ, trị liệu nghệ thuật")*(#REF!="Truyền thông")*(INDEX(#REF!,MATCH(#REF!,#REF!,0))="Người sử dụng ma túy (PUD)"))</f>
        <v>#REF!</v>
      </c>
      <c r="G12" s="77" t="e" cm="1">
        <f t="array" ref="G12">SUMPRODUCT((#REF!="Về nhà")*(#REF!="F2. Truyền thông, sinh hoạt nhóm, vòng tròn chia sẻ, trị liệu nghệ thuật")*(#REF!="Truyền thông")*(INDEX(#REF!,MATCH(#REF!,#REF!,0))="Người sống chung với HIV (PLHIV)"))</f>
        <v>#REF!</v>
      </c>
      <c r="H12" s="77" t="e" cm="1">
        <f t="array" ref="H12">SUMPRODUCT((#REF!="Về nhà")*(#REF!="F2. Truyền thông, sinh hoạt nhóm, vòng tròn chia sẻ, trị liệu nghệ thuật")*(#REF!="Truyền thông")*(INDEX(#REF!,MATCH(#REF!,#REF!,0))="Người chuyển giới (TG)"))</f>
        <v>#REF!</v>
      </c>
      <c r="I12" s="76" t="e" cm="1">
        <f t="array" ref="I12">SUMPRODUCT((#REF!="Về nhà")*(#REF!="F2. Truyền thông, sinh hoạt nhóm, vòng tròn chia sẻ, trị liệu nghệ thuật")*(#REF!="Truyền thông")*(INDEX(#REF!,MATCH(#REF!,#REF!,0))="Người bán dâm (SW)"))</f>
        <v>#REF!</v>
      </c>
      <c r="J12" s="76" t="e" cm="1">
        <f t="array" ref="J12">SUMPRODUCT((#REF!="Về nhà")*(#REF!="F2. Truyền thông, sinh hoạt nhóm, vòng tròn chia sẻ, trị liệu nghệ thuật")*(#REF!="Truyền thông")*(INDEX(#REF!,MATCH(#REF!,#REF!,0))="Nam quan hệ tình dục đồng giới (MSM)"))</f>
        <v>#REF!</v>
      </c>
      <c r="K12" s="37" t="s">
        <v>35</v>
      </c>
      <c r="L12" s="37" t="s">
        <v>35</v>
      </c>
      <c r="M12" s="37" t="s">
        <v>35</v>
      </c>
      <c r="N12" s="37" t="s">
        <v>35</v>
      </c>
      <c r="O12" s="87"/>
      <c r="P12" s="31"/>
    </row>
    <row r="13" spans="2:16" ht="18" customHeight="1" x14ac:dyDescent="0.25">
      <c r="B13" s="26" t="s">
        <v>47</v>
      </c>
      <c r="C13" s="40" t="s">
        <v>48</v>
      </c>
      <c r="D13" s="2"/>
      <c r="E13" s="77"/>
      <c r="F13" s="77"/>
      <c r="G13" s="77"/>
      <c r="H13" s="77"/>
      <c r="I13" s="76"/>
      <c r="J13" s="76"/>
      <c r="K13" s="37"/>
      <c r="L13" s="37"/>
      <c r="M13" s="37"/>
      <c r="N13" s="37"/>
      <c r="O13" s="38" t="s">
        <v>49</v>
      </c>
      <c r="P13" s="31"/>
    </row>
    <row r="14" spans="2:16" s="8" customFormat="1" ht="18" customHeight="1" x14ac:dyDescent="0.25">
      <c r="B14" s="39">
        <v>1</v>
      </c>
      <c r="C14" s="89" t="s">
        <v>50</v>
      </c>
      <c r="D14" s="89"/>
      <c r="E14" s="77" t="e" cm="1">
        <f t="array" ref="E14">SUMPRODUCT((#REF!="Về nhà")*(#REF!="F3. Bảng hỏi sàng lọc sức khoẻ tâm thần (QST)")*(#REF!=1))</f>
        <v>#REF!</v>
      </c>
      <c r="F14" s="77" t="e" cm="1">
        <f t="array" ref="F14">SUMPRODUCT((#REF!="Về nhà")*(#REF!="F3. Bảng hỏi sàng lọc sức khoẻ tâm thần (QST)")*(#REF!=1)*(INDEX(#REF!,MATCH(#REF!,#REF!,0))="Người sử dụng ma túy (PUD)"))</f>
        <v>#REF!</v>
      </c>
      <c r="G14" s="77" t="e" cm="1">
        <f t="array" ref="G14">SUMPRODUCT((#REF!="Về nhà")*(#REF!="F3. Bảng hỏi sàng lọc sức khoẻ tâm thần (QST)")*(#REF!=1)*(INDEX(#REF!,MATCH(#REF!,#REF!,0))="Người sống chung với HIV (PLHIV)"))</f>
        <v>#REF!</v>
      </c>
      <c r="H14" s="77" t="e" cm="1">
        <f t="array" ref="H14">SUMPRODUCT((#REF!="Về nhà")*(#REF!="F3. Bảng hỏi sàng lọc sức khoẻ tâm thần (QST)")*(#REF!=1)*(INDEX(#REF!,MATCH(#REF!,#REF!,0))="Người chuyển giới (TG)"))</f>
        <v>#REF!</v>
      </c>
      <c r="I14" s="76" t="e" cm="1">
        <f t="array" ref="I14">SUMPRODUCT((#REF!="Về nhà")*(#REF!="F3. Bảng hỏi sàng lọc sức khoẻ tâm thần (QST)")*(#REF!=1)*(INDEX(#REF!,MATCH(#REF!,#REF!,0))="Người bán dâm (SW)"))</f>
        <v>#REF!</v>
      </c>
      <c r="J14" s="76" t="e" cm="1">
        <f t="array" ref="J14">SUMPRODUCT((#REF!="Về nhà")*(#REF!="F3. Bảng hỏi sàng lọc sức khoẻ tâm thần (QST)")*(#REF!=1)*(INDEX(#REF!,MATCH(#REF!,#REF!,0))="Nam quan hệ tình dục đồng giới (MSM)"))</f>
        <v>#REF!</v>
      </c>
      <c r="K14" s="37" t="s">
        <v>35</v>
      </c>
      <c r="L14" s="37" t="s">
        <v>35</v>
      </c>
      <c r="M14" s="37" t="s">
        <v>35</v>
      </c>
      <c r="N14" s="37" t="s">
        <v>35</v>
      </c>
      <c r="O14" s="42"/>
      <c r="P14" s="31"/>
    </row>
    <row r="15" spans="2:16" s="8" customFormat="1" ht="18" customHeight="1" x14ac:dyDescent="0.3">
      <c r="B15" s="20"/>
      <c r="C15" s="43" t="s">
        <v>51</v>
      </c>
      <c r="D15" s="44" t="s">
        <v>52</v>
      </c>
      <c r="E15" s="77" t="e" cm="1">
        <f t="array" ref="E15">SUMPRODUCT((#REF!="Về nhà")*(#REF!="F3. Bảng hỏi sàng lọc sức khoẻ tâm thần (QST)")*(#REF!=1)*(#REF!&gt;=8))</f>
        <v>#REF!</v>
      </c>
      <c r="F15" s="77" t="e" cm="1">
        <f t="array" ref="F15">SUMPRODUCT((#REF!="Về nhà")*(#REF!="F3. Bảng hỏi sàng lọc sức khoẻ tâm thần (QST)")*(#REF!=1)*(#REF!&gt;=8)*(INDEX(#REF!,MATCH(#REF!,#REF!,0))="Người sử dụng ma túy (PUD)"))</f>
        <v>#REF!</v>
      </c>
      <c r="G15" s="77" t="e" cm="1">
        <f t="array" ref="G15">SUMPRODUCT((#REF!="Về nhà")*(#REF!="F3. Bảng hỏi sàng lọc sức khoẻ tâm thần (QST)")*(#REF!=1)*(#REF!&gt;=8)*(INDEX(#REF!,MATCH(#REF!,#REF!,0))="Người sống chung với HIV (PLHIV)"))</f>
        <v>#REF!</v>
      </c>
      <c r="H15" s="77" t="e" cm="1">
        <f t="array" ref="H15">SUMPRODUCT((#REF!="Về nhà")*(#REF!="F3. Bảng hỏi sàng lọc sức khoẻ tâm thần (QST)")*(#REF!=1)*(#REF!&gt;=8)*(INDEX(#REF!,MATCH(#REF!,#REF!,0))="Người chuyển giới (TG)"))</f>
        <v>#REF!</v>
      </c>
      <c r="I15" s="76" t="e" cm="1">
        <f t="array" ref="I15">SUMPRODUCT((#REF!="Về nhà")*(#REF!="F3. Bảng hỏi sàng lọc sức khoẻ tâm thần (QST)")*(#REF!=1)*(#REF!&gt;=8)*(INDEX(#REF!,MATCH(#REF!,#REF!,0))="Người bán dâm (SW)"))</f>
        <v>#REF!</v>
      </c>
      <c r="J15" s="76" t="e" cm="1">
        <f t="array" ref="J15">SUMPRODUCT((#REF!="Về nhà")*(#REF!="F3. Bảng hỏi sàng lọc sức khoẻ tâm thần (QST)")*(#REF!=1)*(#REF!&gt;=8)*(INDEX(#REF!,MATCH(#REF!,#REF!,0))="Nam quan hệ tình dục đồng giới (MSM)"))</f>
        <v>#REF!</v>
      </c>
      <c r="K15" s="37" t="s">
        <v>35</v>
      </c>
      <c r="L15" s="37" t="s">
        <v>35</v>
      </c>
      <c r="M15" s="37" t="s">
        <v>35</v>
      </c>
      <c r="N15" s="37" t="s">
        <v>35</v>
      </c>
      <c r="O15" s="42"/>
      <c r="P15" s="31"/>
    </row>
    <row r="16" spans="2:16" s="8" customFormat="1" ht="18" customHeight="1" x14ac:dyDescent="0.3">
      <c r="B16" s="20"/>
      <c r="C16" s="43"/>
      <c r="D16" s="44" t="s">
        <v>53</v>
      </c>
      <c r="E16" s="77" t="e" cm="1">
        <f t="array" ref="E16">SUMPRODUCT((#REF!="Về nhà")*(#REF!="F3. Bảng hỏi sàng lọc sức khoẻ tâm thần (QST)")*(#REF!=1)*(#REF!&gt;=6)*(#REF!&lt;=7))</f>
        <v>#REF!</v>
      </c>
      <c r="F16" s="77" t="e" cm="1">
        <f t="array" ref="F16">SUMPRODUCT((#REF!="Về nhà")*(#REF!="F3. Bảng hỏi sàng lọc sức khoẻ tâm thần (QST)")*(#REF!=1)*(#REF!&gt;=6)*(#REF!&lt;=7)*(INDEX(#REF!,MATCH(#REF!,#REF!,0))="Người sử dụng ma túy (PUD)"))</f>
        <v>#REF!</v>
      </c>
      <c r="G16" s="77" t="e" cm="1">
        <f t="array" ref="G16">SUMPRODUCT((#REF!="Về nhà")*(#REF!="F3. Bảng hỏi sàng lọc sức khoẻ tâm thần (QST)")*(#REF!=1)*(#REF!&gt;=6)*(#REF!&lt;=7)*(INDEX(#REF!,MATCH(#REF!,#REF!,0))="Người sống chung với HIV (PLHIV)"))</f>
        <v>#REF!</v>
      </c>
      <c r="H16" s="77" t="e" cm="1">
        <f t="array" ref="H16">SUMPRODUCT((#REF!="Về nhà")*(#REF!="F3. Bảng hỏi sàng lọc sức khoẻ tâm thần (QST)")*(#REF!=1)*(#REF!&gt;=6)*(#REF!&lt;=7)*(INDEX(#REF!,MATCH(#REF!,#REF!,0))="Người chuyển giới (TG)"))</f>
        <v>#REF!</v>
      </c>
      <c r="I16" s="76" t="e" cm="1">
        <f t="array" ref="I16">SUMPRODUCT((#REF!="Về nhà")*(#REF!="F3. Bảng hỏi sàng lọc sức khoẻ tâm thần (QST)")*(#REF!=1)*(#REF!&gt;=6)*(#REF!&lt;=7)*(INDEX(#REF!,MATCH(#REF!,#REF!,0))="Người bán dâm (SW)"))</f>
        <v>#REF!</v>
      </c>
      <c r="J16" s="76" t="e" cm="1">
        <f t="array" ref="J16">SUMPRODUCT((#REF!="Về nhà")*(#REF!="F3. Bảng hỏi sàng lọc sức khoẻ tâm thần (QST)")*(#REF!=1)*(#REF!&gt;=6)*(#REF!&lt;=7)*(INDEX(#REF!,MATCH(#REF!,#REF!,0))="Nam quan hệ tình dục đồng giới (MSM)"))</f>
        <v>#REF!</v>
      </c>
      <c r="K16" s="37" t="s">
        <v>35</v>
      </c>
      <c r="L16" s="37" t="s">
        <v>35</v>
      </c>
      <c r="M16" s="37" t="s">
        <v>35</v>
      </c>
      <c r="N16" s="37" t="s">
        <v>35</v>
      </c>
      <c r="O16" s="42"/>
      <c r="P16" s="31"/>
    </row>
    <row r="17" spans="2:16" s="8" customFormat="1" ht="18" customHeight="1" x14ac:dyDescent="0.3">
      <c r="B17" s="20"/>
      <c r="C17" s="43"/>
      <c r="D17" s="44" t="s">
        <v>54</v>
      </c>
      <c r="E17" s="77" t="e" cm="1">
        <f t="array" ref="E17">SUMPRODUCT((#REF!="Về nhà")*(#REF!="F3. Bảng hỏi sàng lọc sức khoẻ tâm thần (QST)")*(#REF!=1)*(#REF!&gt;=4)*(#REF!&lt;=5))</f>
        <v>#REF!</v>
      </c>
      <c r="F17" s="77" t="e" cm="1">
        <f t="array" ref="F17">SUMPRODUCT((#REF!="Về nhà")*(#REF!="F3. Bảng hỏi sàng lọc sức khoẻ tâm thần (QST)")*(#REF!=1)*(#REF!&gt;=4)*(#REF!&lt;=5)*(INDEX(#REF!,MATCH(#REF!,#REF!,0))="Người sử dụng ma túy (PUD)"))</f>
        <v>#REF!</v>
      </c>
      <c r="G17" s="77" t="e" cm="1">
        <f t="array" ref="G17">SUMPRODUCT((#REF!="Về nhà")*(#REF!="F3. Bảng hỏi sàng lọc sức khoẻ tâm thần (QST)")*(#REF!=1)*(#REF!&gt;=4)*(#REF!&lt;=5)*(INDEX(#REF!,MATCH(#REF!,#REF!,0))="Người sống chung với HIV (PLHIV)"))</f>
        <v>#REF!</v>
      </c>
      <c r="H17" s="77" t="e" cm="1">
        <f t="array" ref="H17">SUMPRODUCT((#REF!="Về nhà")*(#REF!="F3. Bảng hỏi sàng lọc sức khoẻ tâm thần (QST)")*(#REF!=1)*(#REF!&gt;=4)*(#REF!&lt;=5)*(INDEX(#REF!,MATCH(#REF!,#REF!,0))="Người chuyển giới (TG)"))</f>
        <v>#REF!</v>
      </c>
      <c r="I17" s="76" t="e" cm="1">
        <f t="array" ref="I17">SUMPRODUCT((#REF!="Về nhà")*(#REF!="F3. Bảng hỏi sàng lọc sức khoẻ tâm thần (QST)")*(#REF!=1)*(#REF!&gt;=4)*(#REF!&lt;=5)*(INDEX(#REF!,MATCH(#REF!,#REF!,0))="Người bán dâm (SW)"))</f>
        <v>#REF!</v>
      </c>
      <c r="J17" s="76" t="e" cm="1">
        <f t="array" ref="J17">SUMPRODUCT((#REF!="Về nhà")*(#REF!="F3. Bảng hỏi sàng lọc sức khoẻ tâm thần (QST)")*(#REF!=1)*(#REF!&gt;=4)*(#REF!&lt;=5)*(INDEX(#REF!,MATCH(#REF!,#REF!,0))="Nam quan hệ tình dục đồng giới (MSM)"))</f>
        <v>#REF!</v>
      </c>
      <c r="K17" s="37" t="s">
        <v>35</v>
      </c>
      <c r="L17" s="37" t="s">
        <v>35</v>
      </c>
      <c r="M17" s="37" t="s">
        <v>35</v>
      </c>
      <c r="N17" s="37" t="s">
        <v>35</v>
      </c>
      <c r="O17" s="42"/>
      <c r="P17" s="31"/>
    </row>
    <row r="18" spans="2:16" s="8" customFormat="1" ht="18" customHeight="1" x14ac:dyDescent="0.3">
      <c r="B18" s="20"/>
      <c r="C18" s="43"/>
      <c r="D18" s="44" t="s">
        <v>55</v>
      </c>
      <c r="E18" s="77" t="e" cm="1">
        <f t="array" ref="E18">SUMPRODUCT((#REF!="Về nhà")*(#REF!="F3. Bảng hỏi sàng lọc sức khoẻ tâm thần (QST)")*(#REF!=1)*(#REF!&lt;4))</f>
        <v>#REF!</v>
      </c>
      <c r="F18" s="77" t="e" cm="1">
        <f t="array" ref="F18">SUMPRODUCT((#REF!="Về nhà")*(#REF!="F3. Bảng hỏi sàng lọc sức khoẻ tâm thần (QST)")*(#REF!=1)*(#REF!&lt;4)*(INDEX(#REF!,MATCH(#REF!,#REF!,0))="Người sử dụng ma túy (PUD)"))</f>
        <v>#REF!</v>
      </c>
      <c r="G18" s="77" t="e" cm="1">
        <f t="array" ref="G18">SUMPRODUCT((#REF!="Về nhà")*(#REF!="F3. Bảng hỏi sàng lọc sức khoẻ tâm thần (QST)")*(#REF!=1)*(#REF!&lt;4)*(INDEX(#REF!,MATCH(#REF!,#REF!,0))="Người sống chung với HIV (PLHIV)"))</f>
        <v>#REF!</v>
      </c>
      <c r="H18" s="77" t="e" cm="1">
        <f t="array" ref="H18">SUMPRODUCT((#REF!="Về nhà")*(#REF!="F3. Bảng hỏi sàng lọc sức khoẻ tâm thần (QST)")*(#REF!=1)*(#REF!&lt;4)*(INDEX(#REF!,MATCH(#REF!,#REF!,0))="Người chuyển giới (TG)"))</f>
        <v>#REF!</v>
      </c>
      <c r="I18" s="76" t="e" cm="1">
        <f t="array" ref="I18">SUMPRODUCT((#REF!="Về nhà")*(#REF!="F3. Bảng hỏi sàng lọc sức khoẻ tâm thần (QST)")*(#REF!=1)*(#REF!&lt;4)*(INDEX(#REF!,MATCH(#REF!,#REF!,0))="Người bán dâm (SW)"))</f>
        <v>#REF!</v>
      </c>
      <c r="J18" s="76" t="e" cm="1">
        <f t="array" ref="J18">SUMPRODUCT((#REF!="Về nhà")*(#REF!="F3. Bảng hỏi sàng lọc sức khoẻ tâm thần (QST)")*(#REF!=1)*(#REF!&lt;4)*(INDEX(#REF!,MATCH(#REF!,#REF!,0))="Nam quan hệ tình dục đồng giới (MSM)"))</f>
        <v>#REF!</v>
      </c>
      <c r="K18" s="37" t="s">
        <v>35</v>
      </c>
      <c r="L18" s="37" t="s">
        <v>35</v>
      </c>
      <c r="M18" s="37" t="s">
        <v>35</v>
      </c>
      <c r="N18" s="37" t="s">
        <v>35</v>
      </c>
      <c r="O18" s="42"/>
      <c r="P18" s="31"/>
    </row>
    <row r="19" spans="2:16" s="8" customFormat="1" ht="18" customHeight="1" x14ac:dyDescent="0.25">
      <c r="B19" s="39">
        <v>2</v>
      </c>
      <c r="C19" s="89" t="s">
        <v>56</v>
      </c>
      <c r="D19" s="89"/>
      <c r="E19" s="77" t="e" cm="1">
        <f t="array" ref="E19">SUMPRODUCT((#REF!="Về nhà")*(#REF!="F3. Bảng hỏi sàng lọc sức khoẻ tâm thần (QST)")*(#REF!&gt;=2))</f>
        <v>#REF!</v>
      </c>
      <c r="F19" s="77" t="e" cm="1">
        <f t="array" ref="F19">SUMPRODUCT((#REF!="Về nhà")*(#REF!="F3. Bảng hỏi sàng lọc sức khoẻ tâm thần (QST)")*(#REF!&gt;=2)*(INDEX(#REF!,MATCH(#REF!,#REF!,0))="Người sử dụng ma túy (PUD)"))</f>
        <v>#REF!</v>
      </c>
      <c r="G19" s="77" t="e" cm="1">
        <f t="array" ref="G19">SUMPRODUCT((#REF!="Về nhà")*(#REF!="F3. Bảng hỏi sàng lọc sức khoẻ tâm thần (QST)")*(#REF!&gt;=2)*(INDEX(#REF!,MATCH(#REF!,#REF!,0))="Người sống chung với HIV (PLHIV)"))</f>
        <v>#REF!</v>
      </c>
      <c r="H19" s="77" t="e" cm="1">
        <f t="array" ref="H19">SUMPRODUCT((#REF!="Về nhà")*(#REF!="F3. Bảng hỏi sàng lọc sức khoẻ tâm thần (QST)")*(#REF!&gt;=2)*(INDEX(#REF!,MATCH(#REF!,#REF!,0))="Người chuyển giới (TG)"))</f>
        <v>#REF!</v>
      </c>
      <c r="I19" s="76" t="e" cm="1">
        <f t="array" ref="I19">SUMPRODUCT((#REF!="Về nhà")*(#REF!="F3. Bảng hỏi sàng lọc sức khoẻ tâm thần (QST)")*(#REF!&gt;=2)*(INDEX(#REF!,MATCH(#REF!,#REF!,0))="Người bán dâm (SW)"))</f>
        <v>#REF!</v>
      </c>
      <c r="J19" s="76" t="e" cm="1">
        <f t="array" ref="J19">SUMPRODUCT((#REF!="Về nhà")*(#REF!="F3. Bảng hỏi sàng lọc sức khoẻ tâm thần (QST)")*(#REF!&gt;=2)*(INDEX(#REF!,MATCH(#REF!,#REF!,0))="Nam quan hệ tình dục đồng giới (MSM)"))</f>
        <v>#REF!</v>
      </c>
      <c r="K19" s="37" t="s">
        <v>35</v>
      </c>
      <c r="L19" s="37" t="s">
        <v>35</v>
      </c>
      <c r="M19" s="37" t="s">
        <v>35</v>
      </c>
      <c r="N19" s="37" t="s">
        <v>35</v>
      </c>
      <c r="O19" s="35" t="s">
        <v>57</v>
      </c>
      <c r="P19" s="31"/>
    </row>
    <row r="20" spans="2:16" s="8" customFormat="1" ht="18" customHeight="1" x14ac:dyDescent="0.3">
      <c r="B20" s="20"/>
      <c r="C20" s="43" t="s">
        <v>58</v>
      </c>
      <c r="D20" s="44" t="s">
        <v>52</v>
      </c>
      <c r="E20" s="77" t="e" cm="1">
        <f t="array" ref="E20">SUMPRODUCT((#REF!="Về nhà")*(#REF!="F3. Bảng hỏi sàng lọc sức khoẻ tâm thần (QST)")*(#REF!&gt;=2)*(#REF!&gt;=8))</f>
        <v>#REF!</v>
      </c>
      <c r="F20" s="77" t="e" cm="1">
        <f t="array" ref="F20">SUMPRODUCT((#REF!="Về nhà")*(#REF!="F3. Bảng hỏi sàng lọc sức khoẻ tâm thần (QST)")*(#REF!&gt;=2)*(#REF!&gt;=8)*(INDEX(#REF!,MATCH(#REF!,#REF!,0))="Người sử dụng ma túy (PUD)"))</f>
        <v>#REF!</v>
      </c>
      <c r="G20" s="77" t="e" cm="1">
        <f t="array" ref="G20">SUMPRODUCT((#REF!="Về nhà")*(#REF!="F3. Bảng hỏi sàng lọc sức khoẻ tâm thần (QST)")*(#REF!&gt;=2)*(#REF!&gt;=8)*(INDEX(#REF!,MATCH(#REF!,#REF!,0))="Người sống chung với HIV (PLHIV)"))</f>
        <v>#REF!</v>
      </c>
      <c r="H20" s="77" t="e" cm="1">
        <f t="array" ref="H20">SUMPRODUCT((#REF!="Về nhà")*(#REF!="F3. Bảng hỏi sàng lọc sức khoẻ tâm thần (QST)")*(#REF!&gt;=2)*(#REF!&gt;=8)*(INDEX(#REF!,MATCH(#REF!,#REF!,0))="Người chuyển giới (TG)"))</f>
        <v>#REF!</v>
      </c>
      <c r="I20" s="76" t="e" cm="1">
        <f t="array" ref="I20">SUMPRODUCT((#REF!="Về nhà")*(#REF!="F3. Bảng hỏi sàng lọc sức khoẻ tâm thần (QST)")*(#REF!&gt;=2)*(#REF!&gt;=8)*(INDEX(#REF!,MATCH(#REF!,#REF!,0))="Người bán dâm (SW)"))</f>
        <v>#REF!</v>
      </c>
      <c r="J20" s="76" t="e" cm="1">
        <f t="array" ref="J20">SUMPRODUCT((#REF!="Về nhà")*(#REF!="F3. Bảng hỏi sàng lọc sức khoẻ tâm thần (QST)")*(#REF!&gt;=2)*(#REF!&gt;=8)*(INDEX(#REF!,MATCH(#REF!,#REF!,0))="Nam quan hệ tình dục đồng giới (MSM)"))</f>
        <v>#REF!</v>
      </c>
      <c r="K20" s="37" t="s">
        <v>35</v>
      </c>
      <c r="L20" s="37" t="s">
        <v>35</v>
      </c>
      <c r="M20" s="37" t="s">
        <v>35</v>
      </c>
      <c r="N20" s="37" t="s">
        <v>35</v>
      </c>
      <c r="O20" s="42"/>
      <c r="P20" s="31"/>
    </row>
    <row r="21" spans="2:16" s="8" customFormat="1" ht="18" customHeight="1" x14ac:dyDescent="0.3">
      <c r="B21" s="20"/>
      <c r="C21" s="43"/>
      <c r="D21" s="44" t="s">
        <v>53</v>
      </c>
      <c r="E21" s="77" t="e" cm="1">
        <f t="array" ref="E21">SUMPRODUCT((#REF!="Về nhà")*(#REF!="F3. Bảng hỏi sàng lọc sức khoẻ tâm thần (QST)")*(#REF!&gt;=2)*(#REF!&gt;=6)*(#REF!&lt;=7))</f>
        <v>#REF!</v>
      </c>
      <c r="F21" s="77" t="e" cm="1">
        <f t="array" ref="F21">SUMPRODUCT((#REF!="Về nhà")*(#REF!="F3. Bảng hỏi sàng lọc sức khoẻ tâm thần (QST)")*(#REF!&gt;=2)*(#REF!&gt;=6)*(#REF!&lt;=7)*(INDEX(#REF!,MATCH(#REF!,#REF!,0))="Người sử dụng ma túy (PUD)"))</f>
        <v>#REF!</v>
      </c>
      <c r="G21" s="77" t="e" cm="1">
        <f t="array" ref="G21">SUMPRODUCT((#REF!="Về nhà")*(#REF!="F3. Bảng hỏi sàng lọc sức khoẻ tâm thần (QST)")*(#REF!&gt;=2)*(#REF!&gt;=6)*(#REF!&lt;=7)*(INDEX(#REF!,MATCH(#REF!,#REF!,0))="Người sống chung với HIV (PLHIV)"))</f>
        <v>#REF!</v>
      </c>
      <c r="H21" s="77" t="e" cm="1">
        <f t="array" ref="H21">SUMPRODUCT((#REF!="Về nhà")*(#REF!="F3. Bảng hỏi sàng lọc sức khoẻ tâm thần (QST)")*(#REF!&gt;=2)*(#REF!&gt;=6)*(#REF!&lt;=7)*(INDEX(#REF!,MATCH(#REF!,#REF!,0))="Người chuyển giới (TG)"))</f>
        <v>#REF!</v>
      </c>
      <c r="I21" s="76" t="e" cm="1">
        <f t="array" ref="I21">SUMPRODUCT((#REF!="Về nhà")*(#REF!="F3. Bảng hỏi sàng lọc sức khoẻ tâm thần (QST)")*(#REF!&gt;=2)*(#REF!&gt;=6)*(#REF!&lt;=7)*(INDEX(#REF!,MATCH(#REF!,#REF!,0))="Người bán dâm (SW)"))</f>
        <v>#REF!</v>
      </c>
      <c r="J21" s="76" t="e" cm="1">
        <f t="array" ref="J21">SUMPRODUCT((#REF!="Về nhà")*(#REF!="F3. Bảng hỏi sàng lọc sức khoẻ tâm thần (QST)")*(#REF!&gt;=2)*(#REF!&gt;=6)*(#REF!&lt;=7)*(INDEX(#REF!,MATCH(#REF!,#REF!,0))="Nam quan hệ tình dục đồng giới (MSM)"))</f>
        <v>#REF!</v>
      </c>
      <c r="K21" s="37" t="s">
        <v>35</v>
      </c>
      <c r="L21" s="37" t="s">
        <v>35</v>
      </c>
      <c r="M21" s="37" t="s">
        <v>35</v>
      </c>
      <c r="N21" s="37" t="s">
        <v>35</v>
      </c>
      <c r="O21" s="42"/>
      <c r="P21" s="31"/>
    </row>
    <row r="22" spans="2:16" s="8" customFormat="1" ht="18" customHeight="1" x14ac:dyDescent="0.3">
      <c r="B22" s="20"/>
      <c r="C22" s="43"/>
      <c r="D22" s="44" t="s">
        <v>54</v>
      </c>
      <c r="E22" s="77" t="e" cm="1">
        <f t="array" ref="E22">SUMPRODUCT((#REF!="Về nhà")*(#REF!="F3. Bảng hỏi sàng lọc sức khoẻ tâm thần (QST)")*(#REF!&gt;=2)*(#REF!&gt;=4)*(#REF!&lt;=5))</f>
        <v>#REF!</v>
      </c>
      <c r="F22" s="77" t="e" cm="1">
        <f t="array" ref="F22">SUMPRODUCT((#REF!="Về nhà")*(#REF!="F3. Bảng hỏi sàng lọc sức khoẻ tâm thần (QST)")*(#REF!&gt;=2)*(#REF!&gt;=4)*(#REF!&lt;=5)*(INDEX(#REF!,MATCH(#REF!,#REF!,0))="Người sử dụng ma túy (PUD)"))</f>
        <v>#REF!</v>
      </c>
      <c r="G22" s="77" t="e" cm="1">
        <f t="array" ref="G22">SUMPRODUCT((#REF!="Về nhà")*(#REF!="F3. Bảng hỏi sàng lọc sức khoẻ tâm thần (QST)")*(#REF!&gt;=2)*(#REF!&gt;=4)*(#REF!&lt;=5)*(INDEX(#REF!,MATCH(#REF!,#REF!,0))="Người sống chung với HIV (PLHIV)"))</f>
        <v>#REF!</v>
      </c>
      <c r="H22" s="77" t="e" cm="1">
        <f t="array" ref="H22">SUMPRODUCT((#REF!="Về nhà")*(#REF!="F3. Bảng hỏi sàng lọc sức khoẻ tâm thần (QST)")*(#REF!&gt;=2)*(#REF!&gt;=4)*(#REF!&lt;=5)*(INDEX(#REF!,MATCH(#REF!,#REF!,0))="Người chuyển giới (TG)"))</f>
        <v>#REF!</v>
      </c>
      <c r="I22" s="76" t="e" cm="1">
        <f t="array" ref="I22">SUMPRODUCT((#REF!="Về nhà")*(#REF!="F3. Bảng hỏi sàng lọc sức khoẻ tâm thần (QST)")*(#REF!&gt;=2)*(#REF!&gt;=4)*(#REF!&lt;=5)*(INDEX(#REF!,MATCH(#REF!,#REF!,0))="Người bán dâm (SW)"))</f>
        <v>#REF!</v>
      </c>
      <c r="J22" s="76" t="e" cm="1">
        <f t="array" ref="J22">SUMPRODUCT((#REF!="Về nhà")*(#REF!="F3. Bảng hỏi sàng lọc sức khoẻ tâm thần (QST)")*(#REF!&gt;=2)*(#REF!&gt;=4)*(#REF!&lt;=5)*(INDEX(#REF!,MATCH(#REF!,#REF!,0))="Nam quan hệ tình dục đồng giới (MSM)"))</f>
        <v>#REF!</v>
      </c>
      <c r="K22" s="37" t="s">
        <v>35</v>
      </c>
      <c r="L22" s="37" t="s">
        <v>35</v>
      </c>
      <c r="M22" s="37" t="s">
        <v>35</v>
      </c>
      <c r="N22" s="37" t="s">
        <v>35</v>
      </c>
      <c r="O22" s="42"/>
      <c r="P22" s="31"/>
    </row>
    <row r="23" spans="2:16" s="8" customFormat="1" ht="18" customHeight="1" x14ac:dyDescent="0.3">
      <c r="B23" s="20"/>
      <c r="C23" s="43"/>
      <c r="D23" s="44" t="s">
        <v>55</v>
      </c>
      <c r="E23" s="77" t="e" cm="1">
        <f t="array" ref="E23">SUMPRODUCT((#REF!="Về nhà")*(#REF!="F3. Bảng hỏi sàng lọc sức khoẻ tâm thần (QST)")*(#REF!&gt;=2)*(#REF!&lt;4))</f>
        <v>#REF!</v>
      </c>
      <c r="F23" s="77" t="e" cm="1">
        <f t="array" ref="F23">SUMPRODUCT((#REF!="Về nhà")*(#REF!="F3. Bảng hỏi sàng lọc sức khoẻ tâm thần (QST)")*(#REF!&gt;=2)*(#REF!&lt;4)*(INDEX(#REF!,MATCH(#REF!,#REF!,0))="Người sử dụng ma túy (PUD)"))</f>
        <v>#REF!</v>
      </c>
      <c r="G23" s="77" t="e" cm="1">
        <f t="array" ref="G23">SUMPRODUCT((#REF!="Về nhà")*(#REF!="F3. Bảng hỏi sàng lọc sức khoẻ tâm thần (QST)")*(#REF!&gt;=2)*(#REF!&lt;4)*(INDEX(#REF!,MATCH(#REF!,#REF!,0))="Người sống chung với HIV (PLHIV)"))</f>
        <v>#REF!</v>
      </c>
      <c r="H23" s="77" t="e" cm="1">
        <f t="array" ref="H23">SUMPRODUCT((#REF!="Về nhà")*(#REF!="F3. Bảng hỏi sàng lọc sức khoẻ tâm thần (QST)")*(#REF!&gt;=2)*(#REF!&lt;4)*(INDEX(#REF!,MATCH(#REF!,#REF!,0))="Người chuyển giới (TG)"))</f>
        <v>#REF!</v>
      </c>
      <c r="I23" s="76" t="e" cm="1">
        <f t="array" ref="I23">SUMPRODUCT((#REF!="Về nhà")*(#REF!="F3. Bảng hỏi sàng lọc sức khoẻ tâm thần (QST)")*(#REF!&gt;=2)*(#REF!&lt;4)*(INDEX(#REF!,MATCH(#REF!,#REF!,0))="Người bán dâm (SW)"))</f>
        <v>#REF!</v>
      </c>
      <c r="J23" s="76" t="e" cm="1">
        <f t="array" ref="J23">SUMPRODUCT((#REF!="Về nhà")*(#REF!="F3. Bảng hỏi sàng lọc sức khoẻ tâm thần (QST)")*(#REF!&gt;=2)*(#REF!&lt;4)*(INDEX(#REF!,MATCH(#REF!,#REF!,0))="Nam quan hệ tình dục đồng giới (MSM)"))</f>
        <v>#REF!</v>
      </c>
      <c r="K23" s="37" t="s">
        <v>35</v>
      </c>
      <c r="L23" s="37" t="s">
        <v>35</v>
      </c>
      <c r="M23" s="37" t="s">
        <v>35</v>
      </c>
      <c r="N23" s="37" t="s">
        <v>35</v>
      </c>
      <c r="O23" s="42"/>
      <c r="P23" s="31"/>
    </row>
    <row r="24" spans="2:16" s="8" customFormat="1" ht="18" customHeight="1" x14ac:dyDescent="0.3">
      <c r="B24" s="39">
        <v>3</v>
      </c>
      <c r="C24" s="45" t="s">
        <v>59</v>
      </c>
      <c r="D24" s="44"/>
      <c r="E24" s="77" t="e" cm="1">
        <f t="array" ref="E24">SUMPRODUCT((#REF!="Về nhà")*(#REF!="F6. Thông tin chẩn đoán và điều trị"))</f>
        <v>#REF!</v>
      </c>
      <c r="F24" s="77" t="e" cm="1">
        <f t="array" ref="F24">SUMPRODUCT((#REF!="Về nhà")*(#REF!="F6. Thông tin chẩn đoán và điều trị")*(INDEX(#REF!,MATCH(#REF!,#REF!,0))="Người sử dụng ma túy (PUD)"))</f>
        <v>#REF!</v>
      </c>
      <c r="G24" s="77" t="e" cm="1">
        <f t="array" ref="G24">SUMPRODUCT((#REF!="Về nhà")*(#REF!="F6. Thông tin chẩn đoán và điều trị")*(INDEX(#REF!,MATCH(#REF!,#REF!,0))="Người sống chung với HIV (PLHIV)"))</f>
        <v>#REF!</v>
      </c>
      <c r="H24" s="77" t="e" cm="1">
        <f t="array" ref="H24">SUMPRODUCT((#REF!="Về nhà")*(#REF!="F6. Thông tin chẩn đoán và điều trị")*(INDEX(#REF!,MATCH(#REF!,#REF!,0))="Người chuyển giới (TG)"))</f>
        <v>#REF!</v>
      </c>
      <c r="I24" s="76" t="e" cm="1">
        <f t="array" ref="I24">SUMPRODUCT((#REF!="Về nhà")*(#REF!="F6. Thông tin chẩn đoán và điều trị")*(INDEX(#REF!,MATCH(#REF!,#REF!,0))="Người bán dâm (SW)"))</f>
        <v>#REF!</v>
      </c>
      <c r="J24" s="76" t="e" cm="1">
        <f t="array" ref="J24">SUMPRODUCT((#REF!="Về nhà")*(#REF!="F6. Thông tin chẩn đoán và điều trị")*(INDEX(#REF!,MATCH(#REF!,#REF!,0))="Nam quan hệ tình dục đồng giới (MSM)"))</f>
        <v>#REF!</v>
      </c>
      <c r="K24" s="37" t="s">
        <v>35</v>
      </c>
      <c r="L24" s="37" t="s">
        <v>35</v>
      </c>
      <c r="M24" s="37" t="s">
        <v>35</v>
      </c>
      <c r="N24" s="37" t="s">
        <v>35</v>
      </c>
      <c r="O24" s="42"/>
      <c r="P24" s="31" t="s">
        <v>60</v>
      </c>
    </row>
    <row r="25" spans="2:16" s="8" customFormat="1" ht="17.25" customHeight="1" x14ac:dyDescent="0.3">
      <c r="B25" s="39">
        <v>4</v>
      </c>
      <c r="C25" s="45" t="s">
        <v>61</v>
      </c>
      <c r="D25" s="46"/>
      <c r="E25" s="77" t="e" cm="1">
        <f t="array" ref="E25">SUMPRODUCT((#REF!="Về nhà")*(#REF!="F6. Thông tin chẩn đoán và điều trị") / (COUNTIFS(#REF!,#REF!,#REF!, "F6. Thông tin chẩn đoán và điều trị") + (COUNTIFS(#REF!,#REF!,#REF!, "F6. Thông tin chẩn đoán và điều trị")=0)))</f>
        <v>#REF!</v>
      </c>
      <c r="F25" s="77" t="e" cm="1">
        <f t="array" ref="F25">SUMPRODUCT((#REF!="Về nhà")*(#REF!="F6. Thông tin chẩn đoán và điều trị")*(INDEX(#REF!,MATCH(#REF!,#REF!,0))="Người sử dụng ma túy (PUD)"))</f>
        <v>#REF!</v>
      </c>
      <c r="G25" s="77" t="e" cm="1">
        <f t="array" ref="G25">SUMPRODUCT((#REF!="Về nhà")*(#REF!="F6. Thông tin chẩn đoán và điều trị")*(INDEX(#REF!,MATCH(#REF!,#REF!,0))="Người sống chung với HIV (PLHIV)"))</f>
        <v>#REF!</v>
      </c>
      <c r="H25" s="77" t="e" cm="1">
        <f t="array" ref="H25">SUMPRODUCT((#REF!="Về nhà")*(#REF!="F6. Thông tin chẩn đoán và điều trị")*(INDEX(#REF!,MATCH(#REF!,#REF!,0))="Người chuyển giới (TG)"))</f>
        <v>#REF!</v>
      </c>
      <c r="I25" s="76" t="e" cm="1">
        <f t="array" ref="I25">SUMPRODUCT((#REF!="Về nhà")*(#REF!="F6. Thông tin chẩn đoán và điều trị")*(INDEX(#REF!,MATCH(#REF!,#REF!,0))="Người bán dâm (SW)"))</f>
        <v>#REF!</v>
      </c>
      <c r="J25" s="76" t="e" cm="1">
        <f t="array" ref="J25">SUMPRODUCT((#REF!="Về nhà")*(#REF!="F6. Thông tin chẩn đoán và điều trị")*(INDEX(#REF!,MATCH(#REF!,#REF!,0))="Nam quan hệ tình dục đồng giới (MSM)"))</f>
        <v>#REF!</v>
      </c>
      <c r="K25" s="37" t="s">
        <v>35</v>
      </c>
      <c r="L25" s="37" t="s">
        <v>35</v>
      </c>
      <c r="M25" s="37" t="s">
        <v>35</v>
      </c>
      <c r="N25" s="37" t="s">
        <v>35</v>
      </c>
      <c r="O25" s="87" t="s">
        <v>62</v>
      </c>
      <c r="P25" s="31"/>
    </row>
    <row r="26" spans="2:16" s="8" customFormat="1" ht="18" customHeight="1" x14ac:dyDescent="0.3">
      <c r="B26" s="47"/>
      <c r="C26" s="48" t="s">
        <v>63</v>
      </c>
      <c r="D26" s="46"/>
      <c r="E26" s="77" t="e" cm="1">
        <f t="array" ref="E26">SUMPRODUCT((#REF!="Về nhà")*(#REF!="F6. Thông tin chẩn đoán và điều trị")*(#REF!="Khám lần đầu"))</f>
        <v>#REF!</v>
      </c>
      <c r="F26" s="77" t="e" cm="1">
        <f t="array" ref="F26">SUMPRODUCT((#REF!="Về nhà")*(#REF!="F6. Thông tin chẩn đoán và điều trị")*(#REF!="Khám lần đầu")*(INDEX(#REF!,MATCH(#REF!,#REF!,0))="Người sử dụng ma túy (PUD)"))</f>
        <v>#REF!</v>
      </c>
      <c r="G26" s="77" t="e" cm="1">
        <f t="array" ref="G26">SUMPRODUCT((#REF!="Về nhà")*(#REF!="F6. Thông tin chẩn đoán và điều trị")*(#REF!="Khám lần đầu")*(INDEX(#REF!,MATCH(#REF!,#REF!,0))="Người sống chung với HIV (PLHIV)"))</f>
        <v>#REF!</v>
      </c>
      <c r="H26" s="77" t="e" cm="1">
        <f t="array" ref="H26">SUMPRODUCT((#REF!="Về nhà")*(#REF!="F6. Thông tin chẩn đoán và điều trị")*(#REF!="Khám lần đầu")*(INDEX(#REF!,MATCH(#REF!,#REF!,0))="Người chuyển giới (TG)"))</f>
        <v>#REF!</v>
      </c>
      <c r="I26" s="76" t="e" cm="1">
        <f t="array" ref="I26">SUMPRODUCT((#REF!="Về nhà")*(#REF!="F6. Thông tin chẩn đoán và điều trị")*(#REF!="Khám lần đầu")*(INDEX(#REF!,MATCH(#REF!,#REF!,0))="Người bán dâm (SW)"))</f>
        <v>#REF!</v>
      </c>
      <c r="J26" s="76" t="e" cm="1">
        <f t="array" ref="J26">SUMPRODUCT((#REF!="Về nhà")*(#REF!="F6. Thông tin chẩn đoán và điều trị")*(#REF!="Khám lần đầu")*(INDEX(#REF!,MATCH(#REF!,#REF!,0))="Nam quan hệ tình dục đồng giới (MSM)"))</f>
        <v>#REF!</v>
      </c>
      <c r="K26" s="37" t="s">
        <v>35</v>
      </c>
      <c r="L26" s="37" t="s">
        <v>35</v>
      </c>
      <c r="M26" s="37" t="s">
        <v>35</v>
      </c>
      <c r="N26" s="37" t="s">
        <v>35</v>
      </c>
      <c r="O26" s="87"/>
      <c r="P26" s="31"/>
    </row>
    <row r="27" spans="2:16" s="8" customFormat="1" ht="18" customHeight="1" x14ac:dyDescent="0.3">
      <c r="B27" s="47"/>
      <c r="C27" s="48" t="s">
        <v>64</v>
      </c>
      <c r="D27" s="46"/>
      <c r="E27" s="77" t="e" cm="1">
        <f t="array" ref="E27">SUMPRODUCT((#REF!="Về nhà")*(#REF!="F6. Thông tin chẩn đoán và điều trị")*(#REF!="Tái khám"))</f>
        <v>#REF!</v>
      </c>
      <c r="F27" s="77" t="e" cm="1">
        <f t="array" ref="F27">SUMPRODUCT((#REF!="Về nhà")*(#REF!="F6. Thông tin chẩn đoán và điều trị")*(#REF!="Tái khám")*(INDEX(#REF!,MATCH(#REF!,#REF!,0))="Người sử dụng ma túy (PUD)"))</f>
        <v>#REF!</v>
      </c>
      <c r="G27" s="77" t="e" cm="1">
        <f t="array" ref="G27">SUMPRODUCT((#REF!="Về nhà")*(#REF!="F6. Thông tin chẩn đoán và điều trị")*(#REF!="Tái khám")*(INDEX(#REF!,MATCH(#REF!,#REF!,0))="Người sống chung với HIV (PLHIV)"))</f>
        <v>#REF!</v>
      </c>
      <c r="H27" s="77" t="e" cm="1">
        <f t="array" ref="H27">SUMPRODUCT((#REF!="Về nhà")*(#REF!="F6. Thông tin chẩn đoán và điều trị")*(#REF!="Tái khám")*(INDEX(#REF!,MATCH(#REF!,#REF!,0))="Người chuyển giới (TG)"))</f>
        <v>#REF!</v>
      </c>
      <c r="I27" s="76" t="e" cm="1">
        <f t="array" ref="I27">SUMPRODUCT((#REF!="Về nhà")*(#REF!="F6. Thông tin chẩn đoán và điều trị")*(#REF!="Tái khám")*(INDEX(#REF!,MATCH(#REF!,#REF!,0))="Người bán dâm (SW)"))</f>
        <v>#REF!</v>
      </c>
      <c r="J27" s="76" t="e" cm="1">
        <f t="array" ref="J27">SUMPRODUCT((#REF!="Về nhà")*(#REF!="F6. Thông tin chẩn đoán và điều trị")*(#REF!="Tái khám")*(INDEX(#REF!,MATCH(#REF!,#REF!,0))="Nam quan hệ tình dục đồng giới (MSM)"))</f>
        <v>#REF!</v>
      </c>
      <c r="K27" s="37" t="s">
        <v>35</v>
      </c>
      <c r="L27" s="37" t="s">
        <v>35</v>
      </c>
      <c r="M27" s="37" t="s">
        <v>35</v>
      </c>
      <c r="N27" s="37" t="s">
        <v>35</v>
      </c>
      <c r="O27" s="87"/>
      <c r="P27" s="31"/>
    </row>
    <row r="28" spans="2:16" s="8" customFormat="1" ht="18" customHeight="1" x14ac:dyDescent="0.3">
      <c r="B28" s="47"/>
      <c r="C28" s="48" t="s">
        <v>65</v>
      </c>
      <c r="D28" s="46"/>
      <c r="E28" s="77" t="e" cm="1">
        <f t="array" ref="E28">SUMPRODUCT((#REF!="Về nhà")*(#REF!="F6. Thông tin chẩn đoán và điều trị")*(#REF!="Tái khám"))</f>
        <v>#REF!</v>
      </c>
      <c r="F28" s="77" t="e" cm="1">
        <f t="array" ref="F28">SUMPRODUCT((#REF!="Về nhà")*(#REF!="F6. Thông tin chẩn đoán và điều trị")*(#REF!="Tái khám")*(INDEX(#REF!,MATCH(#REF!,#REF!,0))="Người sử dụng ma túy (PUD)"))</f>
        <v>#REF!</v>
      </c>
      <c r="G28" s="77" t="e" cm="1">
        <f t="array" ref="G28">SUMPRODUCT((#REF!="Về nhà")*(#REF!="F6. Thông tin chẩn đoán và điều trị")*(#REF!="Tái khám")*(INDEX(#REF!,MATCH(#REF!,#REF!,0))="Người sống chung với HIV (PLHIV)"))</f>
        <v>#REF!</v>
      </c>
      <c r="H28" s="77" t="e" cm="1">
        <f t="array" ref="H28">SUMPRODUCT((#REF!="Về nhà")*(#REF!="F6. Thông tin chẩn đoán và điều trị")*(#REF!="Tái khám")*(INDEX(#REF!,MATCH(#REF!,#REF!,0))="Người chuyển giới (TG)"))</f>
        <v>#REF!</v>
      </c>
      <c r="I28" s="76" t="e" cm="1">
        <f t="array" ref="I28">SUMPRODUCT((#REF!="Về nhà")*(#REF!="F6. Thông tin chẩn đoán và điều trị")*(#REF!="Tái khám")*(INDEX(#REF!,MATCH(#REF!,#REF!,0))="Người bán dâm (SW)"))</f>
        <v>#REF!</v>
      </c>
      <c r="J28" s="76" t="e" cm="1">
        <f t="array" ref="J28">SUMPRODUCT((#REF!="Về nhà")*(#REF!="F6. Thông tin chẩn đoán và điều trị")*(#REF!="Tái khám")*(INDEX(#REF!,MATCH(#REF!,#REF!,0))="Nam quan hệ tình dục đồng giới (MSM)"))</f>
        <v>#REF!</v>
      </c>
      <c r="K28" s="37" t="s">
        <v>35</v>
      </c>
      <c r="L28" s="37" t="s">
        <v>35</v>
      </c>
      <c r="M28" s="37" t="s">
        <v>35</v>
      </c>
      <c r="N28" s="37" t="s">
        <v>35</v>
      </c>
      <c r="O28" s="87"/>
      <c r="P28" s="31"/>
    </row>
    <row r="29" spans="2:16" s="8" customFormat="1" ht="18" customHeight="1" x14ac:dyDescent="0.3">
      <c r="B29" s="39">
        <v>5</v>
      </c>
      <c r="C29" s="45" t="s">
        <v>66</v>
      </c>
      <c r="D29" s="46"/>
      <c r="E29" s="77" t="e" cm="1">
        <f t="array" ref="E29">SUMPRODUCT((#REF!="Về nhà")*(#REF!="F6. Thông tin chẩn đoán và điều trị")*(#REF!="Chọn"))</f>
        <v>#REF!</v>
      </c>
      <c r="F29" s="77" t="e" cm="1">
        <f t="array" ref="F29">SUMPRODUCT((#REF!="Về nhà")*(#REF!="F6. Thông tin chẩn đoán và điều trị")*(#REF!="Chọn")*(INDEX(#REF!,MATCH(#REF!,#REF!,0))="Người sử dụng ma túy (PUD)"))</f>
        <v>#REF!</v>
      </c>
      <c r="G29" s="77" t="e" cm="1">
        <f t="array" ref="G29">SUMPRODUCT((#REF!="Về nhà")*(#REF!="F6. Thông tin chẩn đoán và điều trị")*(#REF!="Chọn")*(INDEX(#REF!,MATCH(#REF!,#REF!,0))="Người sống chung với HIV (PLHIV)"))</f>
        <v>#REF!</v>
      </c>
      <c r="H29" s="77" t="e" cm="1">
        <f t="array" ref="H29">SUMPRODUCT((#REF!="Về nhà")*(#REF!="F6. Thông tin chẩn đoán và điều trị")*(#REF!="Chọn")*(INDEX(#REF!,MATCH(#REF!,#REF!,0))="Người chuyển giới (TG)"))</f>
        <v>#REF!</v>
      </c>
      <c r="I29" s="76" t="e" cm="1">
        <f t="array" ref="I29">SUMPRODUCT((#REF!="Về nhà")*(#REF!="F6. Thông tin chẩn đoán và điều trị")*(#REF!="Chọn")*(INDEX(#REF!,MATCH(#REF!,#REF!,0))="Người bán dâm (SW)"))</f>
        <v>#REF!</v>
      </c>
      <c r="J29" s="76" t="e" cm="1">
        <f t="array" ref="J29">SUMPRODUCT((#REF!="Về nhà")*(#REF!="F6. Thông tin chẩn đoán và điều trị")*(#REF!="Chọn")*(INDEX(#REF!,MATCH(#REF!,#REF!,0))="Nam quan hệ tình dục đồng giới (MSM)"))</f>
        <v>#REF!</v>
      </c>
      <c r="K29" s="37" t="s">
        <v>35</v>
      </c>
      <c r="L29" s="37" t="s">
        <v>35</v>
      </c>
      <c r="M29" s="37" t="s">
        <v>35</v>
      </c>
      <c r="N29" s="37" t="s">
        <v>35</v>
      </c>
      <c r="O29" s="87"/>
      <c r="P29" s="31"/>
    </row>
    <row r="30" spans="2:16" s="8" customFormat="1" ht="33" customHeight="1" x14ac:dyDescent="0.3">
      <c r="B30" s="39">
        <v>6</v>
      </c>
      <c r="C30" s="45" t="s">
        <v>67</v>
      </c>
      <c r="D30" s="46"/>
      <c r="E30" s="77" t="e" cm="1">
        <f t="array" ref="E30">SUMPRODUCT((#REF!="Về nhà")*(#REF!="F5. Phiếu hỗ trợ tuân thủ điều trị")*(#REF!="Chọn"))</f>
        <v>#REF!</v>
      </c>
      <c r="F30" s="77" t="e" cm="1">
        <f t="array" ref="F30">SUMPRODUCT((#REF!="Về nhà")*(#REF!="F5. Phiếu hỗ trợ tuân thủ điều trị")*(#REF!="Chọn")*(INDEX(#REF!,MATCH(#REF!,#REF!,0))="Người sử dụng ma túy (PUD)"))</f>
        <v>#REF!</v>
      </c>
      <c r="G30" s="77" t="e" cm="1">
        <f t="array" ref="G30">SUMPRODUCT((#REF!="Về nhà")*(#REF!="F5. Phiếu hỗ trợ tuân thủ điều trị")*(#REF!="Chọn")*(INDEX(#REF!,MATCH(#REF!,#REF!,0))="Người sống chung với HIV (PLHIV)"))</f>
        <v>#REF!</v>
      </c>
      <c r="H30" s="77" t="e" cm="1">
        <f t="array" ref="H30">SUMPRODUCT((#REF!="Về nhà")*(#REF!="F5. Phiếu hỗ trợ tuân thủ điều trị")*(#REF!="Chọn")*(INDEX(#REF!,MATCH(#REF!,#REF!,0))="Người chuyển giới (TG)"))</f>
        <v>#REF!</v>
      </c>
      <c r="I30" s="76" t="e" cm="1">
        <f t="array" ref="I30">SUMPRODUCT((#REF!="Về nhà")*(#REF!="F5. Phiếu hỗ trợ tuân thủ điều trị")*(#REF!="Chọn")*(INDEX(#REF!,MATCH(#REF!,#REF!,0))="Người bán dâm (SW)"))</f>
        <v>#REF!</v>
      </c>
      <c r="J30" s="76" t="e" cm="1">
        <f t="array" ref="J30">SUMPRODUCT((#REF!="Về nhà")*(#REF!="F5. Phiếu hỗ trợ tuân thủ điều trị")*(#REF!="Chọn")*(INDEX(#REF!,MATCH(#REF!,#REF!,0))="Nam quan hệ tình dục đồng giới (MSM)"))</f>
        <v>#REF!</v>
      </c>
      <c r="K30" s="37" t="s">
        <v>35</v>
      </c>
      <c r="L30" s="37" t="s">
        <v>35</v>
      </c>
      <c r="M30" s="37" t="s">
        <v>35</v>
      </c>
      <c r="N30" s="37" t="s">
        <v>35</v>
      </c>
      <c r="O30" s="49" t="s">
        <v>68</v>
      </c>
      <c r="P30" s="31"/>
    </row>
    <row r="31" spans="2:16" s="50" customFormat="1" ht="16.5" customHeight="1" x14ac:dyDescent="0.3">
      <c r="B31" s="51" t="s">
        <v>69</v>
      </c>
      <c r="C31" s="52" t="s">
        <v>70</v>
      </c>
      <c r="D31" s="53"/>
      <c r="E31" s="77"/>
      <c r="F31" s="77"/>
      <c r="G31" s="77"/>
      <c r="H31" s="77"/>
      <c r="I31" s="76"/>
      <c r="J31" s="76"/>
      <c r="K31" s="54"/>
      <c r="L31" s="54"/>
      <c r="M31" s="54"/>
      <c r="N31" s="54"/>
      <c r="O31" s="87" t="s">
        <v>71</v>
      </c>
      <c r="P31" s="31"/>
    </row>
    <row r="32" spans="2:16" s="50" customFormat="1" ht="16.5" customHeight="1" x14ac:dyDescent="0.3">
      <c r="B32" s="55">
        <v>1</v>
      </c>
      <c r="C32" s="56" t="s">
        <v>72</v>
      </c>
      <c r="D32" s="2"/>
      <c r="E32" s="78" t="e" cm="1">
        <f t="array" ref="E32">SUMPRODUCT((#REF!="Về nhà")*((#REF!="F7. Phiếu tư vấn lần 1")+(#REF!="F8. Phiếu tư vấn (từ lần 2)")))</f>
        <v>#REF!</v>
      </c>
      <c r="F32" s="78" t="e" cm="1">
        <f t="array" ref="F32">SUMPRODUCT((#REF!="Về nhà")*((#REF!="F7. Phiếu tư vấn lần 1")+(#REF!="F8. Phiếu tư vấn (từ lần 2)"))*(INDEX(#REF!,MATCH(#REF!,#REF!,0))="Người sử dụng ma túy (PUD)"))</f>
        <v>#REF!</v>
      </c>
      <c r="G32" s="78" t="e" cm="1">
        <f t="array" ref="G32">SUMPRODUCT((#REF!="Về nhà")*((#REF!="F7. Phiếu tư vấn lần 1")+(#REF!="F8. Phiếu tư vấn (từ lần 2)"))*(INDEX(#REF!,MATCH(#REF!,#REF!,0))="Người sống chung với HIV (PLHIV)"))</f>
        <v>#REF!</v>
      </c>
      <c r="H32" s="78" t="e" cm="1">
        <f t="array" ref="H32">SUMPRODUCT((#REF!="Về nhà")*((#REF!="F7. Phiếu tư vấn lần 1")+(#REF!="F8. Phiếu tư vấn (từ lần 2)"))*(INDEX(#REF!,MATCH(#REF!,#REF!,0))="Người chuyển giới (TG)"))</f>
        <v>#REF!</v>
      </c>
      <c r="I32" s="78" t="e" cm="1">
        <f t="array" ref="I32">SUMPRODUCT((#REF!="Về nhà")*((#REF!="F7. Phiếu tư vấn lần 1")+(#REF!="F8. Phiếu tư vấn (từ lần 2)"))*(INDEX(#REF!,MATCH(#REF!,#REF!,0))="Người bán dâm (SW)"))</f>
        <v>#REF!</v>
      </c>
      <c r="J32" s="78" t="e" cm="1">
        <f t="array" ref="J32">SUMPRODUCT((#REF!="Về nhà")*((#REF!="F7. Phiếu tư vấn lần 1")+(#REF!="F8. Phiếu tư vấn (từ lần 2)"))*(INDEX(#REF!,MATCH(#REF!,#REF!,0))="Nam quan hệ tình dục đồng giới (MSM)"))</f>
        <v>#REF!</v>
      </c>
      <c r="K32" s="37" t="s">
        <v>35</v>
      </c>
      <c r="L32" s="37" t="s">
        <v>35</v>
      </c>
      <c r="M32" s="37" t="s">
        <v>35</v>
      </c>
      <c r="N32" s="37" t="s">
        <v>35</v>
      </c>
      <c r="O32" s="87"/>
      <c r="P32" s="31"/>
    </row>
    <row r="33" spans="2:16" ht="18" customHeight="1" x14ac:dyDescent="0.3">
      <c r="B33" s="57">
        <v>2</v>
      </c>
      <c r="C33" s="90" t="s">
        <v>73</v>
      </c>
      <c r="D33" s="90"/>
      <c r="E33" s="78" t="e" cm="1">
        <f t="array" ref="E33">SUMPRODUCT((#REF!="Về nhà")*(#REF!="F7. Phiếu tư vấn lần 1"))</f>
        <v>#REF!</v>
      </c>
      <c r="F33" s="78" t="e" cm="1">
        <f t="array" ref="F33">SUMPRODUCT((#REF!="Về nhà")*(#REF!="F7. Phiếu tư vấn lần 1")*(INDEX(#REF!,MATCH(#REF!,#REF!,0))="Người sử dụng ma túy (PUD)"))</f>
        <v>#REF!</v>
      </c>
      <c r="G33" s="78" t="e" cm="1">
        <f t="array" ref="G33">SUMPRODUCT((#REF!="Về nhà")*(#REF!="F7. Phiếu tư vấn lần 1")*(INDEX(#REF!,MATCH(#REF!,#REF!,0))="Người sống chung với HIV (PLHIV)"))</f>
        <v>#REF!</v>
      </c>
      <c r="H33" s="78" t="e" cm="1">
        <f t="array" ref="H33">SUMPRODUCT((#REF!="Về nhà")*(#REF!="F7. Phiếu tư vấn lần 1")*(INDEX(#REF!,MATCH(#REF!,#REF!,0))="Người chuyển giới (TG)"))</f>
        <v>#REF!</v>
      </c>
      <c r="I33" s="76" t="e" cm="1">
        <f t="array" ref="I33">SUMPRODUCT((#REF!="Về nhà")*(#REF!="F7. Phiếu tư vấn lần 1")*(INDEX(#REF!,MATCH(#REF!,#REF!,0))="Người bán dâm (SW)"))</f>
        <v>#REF!</v>
      </c>
      <c r="J33" s="76" t="e" cm="1">
        <f t="array" ref="J33">SUMPRODUCT((#REF!="Về nhà")*(#REF!="F7. Phiếu tư vấn lần 1")*(INDEX(#REF!,MATCH(#REF!,#REF!,0))="Nam quan hệ tình dục đồng giới (MSM)"))</f>
        <v>#REF!</v>
      </c>
      <c r="K33" s="37" t="s">
        <v>35</v>
      </c>
      <c r="L33" s="37" t="s">
        <v>35</v>
      </c>
      <c r="M33" s="37" t="s">
        <v>35</v>
      </c>
      <c r="N33" s="37" t="s">
        <v>35</v>
      </c>
      <c r="O33" s="87"/>
      <c r="P33" s="31"/>
    </row>
    <row r="34" spans="2:16" ht="18" customHeight="1" x14ac:dyDescent="0.3">
      <c r="B34" s="20"/>
      <c r="C34" s="58" t="s">
        <v>74</v>
      </c>
      <c r="D34" s="59"/>
      <c r="E34" s="79" t="e" cm="1">
        <f t="array" ref="E34">SUMPRODUCT((#REF!="Về nhà")*(#REF!="F7. Phiếu tư vấn lần 1")*(COUNTIFS(#REF!,#REF!,#REF!, "F8. Phiếu tư vấn (từ lần 2)")=0))</f>
        <v>#REF!</v>
      </c>
      <c r="F34" s="79" t="e" cm="1">
        <f t="array" ref="F34">SUMPRODUCT((#REF!="Về nhà")*(#REF!="F7. Phiếu tư vấn lần 1")*(COUNTIFS(#REF!,#REF!,#REF!, "F8. Phiếu tư vấn (từ lần 2)")=0)*(INDEX(#REF!,MATCH(#REF!,#REF!,0))="Người sử dụng ma túy (PUD)"))</f>
        <v>#REF!</v>
      </c>
      <c r="G34" s="79" t="e" cm="1">
        <f t="array" ref="G34">SUMPRODUCT((#REF!="Về nhà")*(#REF!="F7. Phiếu tư vấn lần 1")*(COUNTIFS(#REF!,#REF!,#REF!, "F8. Phiếu tư vấn (từ lần 2)")=0)*(INDEX(#REF!,MATCH(#REF!,#REF!,0))="Người sống chung với HIV (PLHIV)"))</f>
        <v>#REF!</v>
      </c>
      <c r="H34" s="79" t="e" cm="1">
        <f t="array" ref="H34">SUMPRODUCT((#REF!="Về nhà")*(#REF!="F7. Phiếu tư vấn lần 1")*(COUNTIFS(#REF!,#REF!,#REF!, "F8. Phiếu tư vấn (từ lần 2)")=0)*(INDEX(#REF!,MATCH(#REF!,#REF!,0))="Người chuyển giới (TG)"))</f>
        <v>#REF!</v>
      </c>
      <c r="I34" s="76" t="e" cm="1">
        <f t="array" ref="I34">SUMPRODUCT((#REF!="Về nhà")*(#REF!="F7. Phiếu tư vấn lần 1")*(COUNTIFS(#REF!,#REF!,#REF!, "F8. Phiếu tư vấn (từ lần 2)")=0)*(INDEX(#REF!,MATCH(#REF!,#REF!,0))="Người bán dâm (SW)"))</f>
        <v>#REF!</v>
      </c>
      <c r="J34" s="76" t="e" cm="1">
        <f t="array" ref="J34">SUMPRODUCT((#REF!="Về nhà")*(#REF!="F7. Phiếu tư vấn lần 1")*(COUNTIFS(#REF!,#REF!,#REF!, "F8. Phiếu tư vấn (từ lần 2)")=0)*(INDEX(#REF!,MATCH(#REF!,#REF!,0))="Nam quan hệ tình dục đồng giới (MSM)"))</f>
        <v>#REF!</v>
      </c>
      <c r="K34" s="37"/>
      <c r="L34" s="37" t="s">
        <v>35</v>
      </c>
      <c r="M34" s="37" t="s">
        <v>35</v>
      </c>
      <c r="N34" s="37" t="s">
        <v>35</v>
      </c>
      <c r="O34" s="87"/>
      <c r="P34" s="31"/>
    </row>
    <row r="35" spans="2:16" ht="18" customHeight="1" x14ac:dyDescent="0.3">
      <c r="B35" s="20"/>
      <c r="C35" s="60" t="s">
        <v>75</v>
      </c>
      <c r="D35" s="56"/>
      <c r="E35" s="79" t="e" cm="1">
        <f t="array" ref="E35">SUMPRODUCT((#REF!="Về nhà")*(#REF!="F8. Phiếu tư vấn (từ lần 2)")*(COUNTIFS(#REF!,#REF!,#REF!, "F8. Phiếu tư vấn (từ lần 2)")=1))</f>
        <v>#REF!</v>
      </c>
      <c r="F35" s="79" t="e" cm="1">
        <f t="array" ref="F35">SUMPRODUCT((#REF!="Về nhà")*(#REF!="F8. Phiếu tư vấn (từ lần 2)")*(COUNTIFS(#REF!,#REF!,#REF!, "F8. Phiếu tư vấn (từ lần 2)")=1)*(INDEX(#REF!,MATCH(#REF!,#REF!,0))="Người sử dụng ma túy (PUD)"))</f>
        <v>#REF!</v>
      </c>
      <c r="G35" s="79" t="e" cm="1">
        <f t="array" ref="G35">SUMPRODUCT((#REF!="Về nhà")*(#REF!="F8. Phiếu tư vấn (từ lần 2)")*(COUNTIFS(#REF!,#REF!,#REF!, "F8. Phiếu tư vấn (từ lần 2)")=1)*(INDEX(#REF!,MATCH(#REF!,#REF!,0))="Người sống chung với HIV (PLHIV)"))</f>
        <v>#REF!</v>
      </c>
      <c r="H35" s="79" t="e" cm="1">
        <f t="array" ref="H35">SUMPRODUCT((#REF!="Về nhà")*(#REF!="F8. Phiếu tư vấn (từ lần 2)")*(COUNTIFS(#REF!,#REF!,#REF!, "F8. Phiếu tư vấn (từ lần 2)")=1)*(INDEX(#REF!,MATCH(#REF!,#REF!,0))="Người chuyển giới (TG)"))</f>
        <v>#REF!</v>
      </c>
      <c r="I35" s="76" t="e" cm="1">
        <f t="array" ref="I35">SUMPRODUCT((#REF!="Về nhà")*(#REF!="F8. Phiếu tư vấn (từ lần 2)")*(COUNTIFS(#REF!,#REF!,#REF!, "F8. Phiếu tư vấn (từ lần 2)")=1)*(INDEX(#REF!,MATCH(#REF!,#REF!,0))="Người bán dâm (SW)"))</f>
        <v>#REF!</v>
      </c>
      <c r="J35" s="76" t="e" cm="1">
        <f t="array" ref="J35">SUMPRODUCT((#REF!="Về nhà")*(#REF!="F8. Phiếu tư vấn (từ lần 2)")*(COUNTIFS(#REF!,#REF!,#REF!, "F8. Phiếu tư vấn (từ lần 2)")=1)*(INDEX(#REF!,MATCH(#REF!,#REF!,0))="Nam quan hệ tình dục đồng giới (MSM)"))</f>
        <v>#REF!</v>
      </c>
      <c r="K35" s="37"/>
      <c r="L35" s="37" t="s">
        <v>35</v>
      </c>
      <c r="M35" s="37" t="s">
        <v>35</v>
      </c>
      <c r="N35" s="37" t="s">
        <v>35</v>
      </c>
      <c r="O35" s="87"/>
      <c r="P35" s="31"/>
    </row>
    <row r="36" spans="2:16" ht="18" customHeight="1" x14ac:dyDescent="0.3">
      <c r="B36" s="39"/>
      <c r="C36" s="61" t="s">
        <v>76</v>
      </c>
      <c r="D36" s="56"/>
      <c r="E36" s="79" t="e" cm="1">
        <f t="array" ref="E36">SUMPRODUCT((#REF!="Về nhà")*(#REF!="F8. Phiếu tư vấn (từ lần 2)")*(COUNTIFS(#REF!,#REF!,#REF!, "F8. Phiếu tư vấn (từ lần 2)")&gt;=2) / (COUNTIFS(#REF!,#REF!,#REF!, "F8. Phiếu tư vấn (từ lần 2)") + (COUNTIFS(#REF!,#REF!,#REF!, "F8. Phiếu tư vấn (từ lần 2)")=0)))</f>
        <v>#REF!</v>
      </c>
      <c r="F36" s="79" t="e" cm="1">
        <f t="array" ref="F36">SUMPRODUCT((#REF!="Về nhà")*(#REF!="F8. Phiếu tư vấn (từ lần 2)")*(COUNTIFS(#REF!,#REF!,#REF!, "F8. Phiếu tư vấn (từ lần 2)")&gt;=2)*(INDEX(#REF!,MATCH(#REF!,#REF!,0))="Người sử dụng ma túy (PUD)") / (COUNTIFS(#REF!,#REF!,#REF!, "F8. Phiếu tư vấn (từ lần 2)") + (COUNTIFS(#REF!,#REF!,#REF!, "F8. Phiếu tư vấn (từ lần 2)")=0)))</f>
        <v>#REF!</v>
      </c>
      <c r="G36" s="79" t="e" cm="1">
        <f t="array" ref="G36">SUMPRODUCT((#REF!="Về nhà")*(#REF!="F8. Phiếu tư vấn (từ lần 2)")*(COUNTIFS(#REF!,#REF!,#REF!, "F8. Phiếu tư vấn (từ lần 2)")&gt;=2)*(INDEX(#REF!,MATCH(#REF!,#REF!,0))="Người sống chung với HIV (PLHIV)") / (COUNTIFS(#REF!,#REF!,#REF!, "F8. Phiếu tư vấn (từ lần 2)") + (COUNTIFS(#REF!,#REF!,#REF!, "F8. Phiếu tư vấn (từ lần 2)")=0)))</f>
        <v>#REF!</v>
      </c>
      <c r="H36" s="79" t="e" cm="1">
        <f t="array" ref="H36">SUMPRODUCT((#REF!="Về nhà")*(#REF!="F8. Phiếu tư vấn (từ lần 2)")*(COUNTIFS(#REF!,#REF!,#REF!, "F8. Phiếu tư vấn (từ lần 2)")&gt;=2)*(INDEX(#REF!,MATCH(#REF!,#REF!,0))="Người chuyển giới (TG)") / (COUNTIFS(#REF!,#REF!,#REF!, "F8. Phiếu tư vấn (từ lần 2)") + (COUNTIFS(#REF!,#REF!,#REF!, "F8. Phiếu tư vấn (từ lần 2)")=0)))</f>
        <v>#REF!</v>
      </c>
      <c r="I36" s="76" t="e" cm="1">
        <f t="array" ref="I36">SUMPRODUCT((#REF!="Về nhà")*(#REF!="F8. Phiếu tư vấn (từ lần 2)")*(COUNTIFS(#REF!,#REF!,#REF!, "F8. Phiếu tư vấn (từ lần 2)")&gt;=2)*(INDEX(#REF!,MATCH(#REF!,#REF!,0))="Người bán dâm (SW)") / (COUNTIFS(#REF!,#REF!,#REF!, "F8. Phiếu tư vấn (từ lần 2)") + (COUNTIFS(#REF!,#REF!,#REF!, "F8. Phiếu tư vấn (từ lần 2)")=0)))</f>
        <v>#REF!</v>
      </c>
      <c r="J36" s="76" t="e" cm="1">
        <f t="array" ref="J36">SUMPRODUCT((#REF!="Về nhà")*(#REF!="F8. Phiếu tư vấn (từ lần 2)")*(COUNTIFS(#REF!,#REF!,#REF!, "F8. Phiếu tư vấn (từ lần 2)")&gt;=2)*(INDEX(#REF!,MATCH(#REF!,#REF!,0))="Nam quan hệ tình dục đồng giới (MSM)") / (COUNTIFS(#REF!,#REF!,#REF!, "F8. Phiếu tư vấn (từ lần 2)") + (COUNTIFS(#REF!,#REF!,#REF!, "F8. Phiếu tư vấn (từ lần 2)")=0)))</f>
        <v>#REF!</v>
      </c>
      <c r="K36" s="37"/>
      <c r="L36" s="37" t="s">
        <v>35</v>
      </c>
      <c r="M36" s="37" t="s">
        <v>35</v>
      </c>
      <c r="N36" s="37" t="s">
        <v>35</v>
      </c>
      <c r="O36" s="87"/>
      <c r="P36" s="31"/>
    </row>
    <row r="37" spans="2:16" ht="18" customHeight="1" x14ac:dyDescent="0.3">
      <c r="B37" s="20">
        <v>3</v>
      </c>
      <c r="C37" s="56" t="s">
        <v>77</v>
      </c>
      <c r="D37" s="62"/>
      <c r="E37" s="79" t="e" cm="1">
        <f t="array" ref="E37">SUMPRODUCT((#REF!="Về nhà")*(#REF!="F2. Truyền thông, sinh hoạt nhóm, vòng tròn chia sẻ, trị liệu nghệ thuật")*(#REF!="Sinh hoạt nhóm"))</f>
        <v>#REF!</v>
      </c>
      <c r="F37" s="79" t="e" cm="1">
        <f t="array" ref="F37">SUMPRODUCT((#REF!="Về nhà")*(#REF!="F2. Truyền thông, sinh hoạt nhóm, vòng tròn chia sẻ, trị liệu nghệ thuật")*(#REF!="Sinh hoạt nhóm")*(INDEX(#REF!,MATCH(#REF!,#REF!,0))="Người sử dụng ma túy (PUD)"))</f>
        <v>#REF!</v>
      </c>
      <c r="G37" s="79" t="e" cm="1">
        <f t="array" ref="G37">SUMPRODUCT((#REF!="Về nhà")*(#REF!="F2. Truyền thông, sinh hoạt nhóm, vòng tròn chia sẻ, trị liệu nghệ thuật")*(#REF!="Sinh hoạt nhóm")*(INDEX(#REF!,MATCH(#REF!,#REF!,0))="Người sống chung với HIV (PLHIV)"))</f>
        <v>#REF!</v>
      </c>
      <c r="H37" s="79" t="e" cm="1">
        <f t="array" ref="H37">SUMPRODUCT((#REF!="Về nhà")*(#REF!="F2. Truyền thông, sinh hoạt nhóm, vòng tròn chia sẻ, trị liệu nghệ thuật")*(#REF!="Sinh hoạt nhóm")*(INDEX(#REF!,MATCH(#REF!,#REF!,0))="Người chuyển giới (TG)"))</f>
        <v>#REF!</v>
      </c>
      <c r="I37" s="76" t="e" cm="1">
        <f t="array" ref="I37">SUMPRODUCT((#REF!="Về nhà")*(#REF!="F2. Truyền thông, sinh hoạt nhóm, vòng tròn chia sẻ, trị liệu nghệ thuật")*(#REF!="Sinh hoạt nhóm")*(INDEX(#REF!,MATCH(#REF!,#REF!,0))="Người bán dâm (SW)"))</f>
        <v>#REF!</v>
      </c>
      <c r="J37" s="76" t="e" cm="1">
        <f t="array" ref="J37">SUMPRODUCT((#REF!="Về nhà")*(#REF!="F2. Truyền thông, sinh hoạt nhóm, vòng tròn chia sẻ, trị liệu nghệ thuật")*(#REF!="Sinh hoạt nhóm")*(INDEX(#REF!,MATCH(#REF!,#REF!,0))="Nam quan hệ tình dục đồng giới (MSM)"))</f>
        <v>#REF!</v>
      </c>
      <c r="K37" s="37" t="s">
        <v>35</v>
      </c>
      <c r="L37" s="37" t="s">
        <v>35</v>
      </c>
      <c r="M37" s="37" t="s">
        <v>35</v>
      </c>
      <c r="N37" s="37" t="s">
        <v>35</v>
      </c>
      <c r="O37" s="93" t="s">
        <v>78</v>
      </c>
      <c r="P37" s="31" t="s">
        <v>60</v>
      </c>
    </row>
    <row r="38" spans="2:16" ht="18" customHeight="1" x14ac:dyDescent="0.3">
      <c r="B38" s="39">
        <v>4</v>
      </c>
      <c r="C38" s="45" t="s">
        <v>79</v>
      </c>
      <c r="D38" s="62"/>
      <c r="E38" s="79" t="e" cm="1">
        <f t="array" ref="E38">SUMPRODUCT(((#REF!="Về nhà")*(#REF!="F2. Truyền thông, sinh hoạt nhóm, vòng tròn chia sẻ, trị liệu nghệ thuật")*(#REF!="Sinh hoạt nhóm"))/(COUNTIFS(#REF!,#REF!,#REF!,"F2. Truyền thông, sinh hoạt nhóm, vòng tròn chia sẻ, trị liệu nghệ thuật",#REF!,"Sinh hoạt nhóm")+(COUNTIFS(#REF!,#REF!,#REF!,"F2. Truyền thông, sinh hoạt nhóm, vòng tròn chia sẻ, trị liệu nghệ thuật",#REF!,"Sinh hoạt nhóm")=0)))</f>
        <v>#REF!</v>
      </c>
      <c r="F38" s="79" t="e" cm="1">
        <f t="array" ref="F38">SUMPRODUCT(((#REF!="Về nhà")*(#REF!="F2. Truyền thông, sinh hoạt nhóm, vòng tròn chia sẻ, trị liệu nghệ thuật")*(#REF!="Sinh hoạt nhóm"))*(INDEX(#REF!,MATCH(#REF!,#REF!,0))="Người sử dụng ma túy (PUD)")/(COUNTIFS(#REF!,#REF!,#REF!,"F2. Truyền thông, sinh hoạt nhóm, vòng tròn chia sẻ, trị liệu nghệ thuật",#REF!,"Sinh hoạt nhóm")+(COUNTIFS(#REF!,#REF!,#REF!,"F2. Truyền thông, sinh hoạt nhóm, vòng tròn chia sẻ, trị liệu nghệ thuật",#REF!,"Sinh hoạt nhóm")=0)))</f>
        <v>#REF!</v>
      </c>
      <c r="G38" s="79" t="e" cm="1">
        <f t="array" ref="G38">SUMPRODUCT(((#REF!="Về nhà")*(#REF!="F2. Truyền thông, sinh hoạt nhóm, vòng tròn chia sẻ, trị liệu nghệ thuật")*(#REF!="Sinh hoạt nhóm"))*(INDEX(#REF!,MATCH(#REF!,#REF!,0))="Người sống chung với HIV (PLHIV)")/(COUNTIFS(#REF!,#REF!,#REF!,"F2. Truyền thông, sinh hoạt nhóm, vòng tròn chia sẻ, trị liệu nghệ thuật",#REF!,"Sinh hoạt nhóm")+(COUNTIFS(#REF!,#REF!,#REF!,"F2. Truyền thông, sinh hoạt nhóm, vòng tròn chia sẻ, trị liệu nghệ thuật",#REF!,"Sinh hoạt nhóm")=0)))</f>
        <v>#REF!</v>
      </c>
      <c r="H38" s="79" t="e" cm="1">
        <f t="array" ref="H38">SUMPRODUCT(((#REF!="Về nhà")*(#REF!="F2. Truyền thông, sinh hoạt nhóm, vòng tròn chia sẻ, trị liệu nghệ thuật")*(#REF!="Sinh hoạt nhóm"))*(INDEX(#REF!,MATCH(#REF!,#REF!,0))="Người chuyển giới (TG)")/(COUNTIFS(#REF!,#REF!,#REF!,"F2. Truyền thông, sinh hoạt nhóm, vòng tròn chia sẻ, trị liệu nghệ thuật",#REF!,"Sinh hoạt nhóm")+(COUNTIFS(#REF!,#REF!,#REF!,"F2. Truyền thông, sinh hoạt nhóm, vòng tròn chia sẻ, trị liệu nghệ thuật",#REF!,"Sinh hoạt nhóm")=0)))</f>
        <v>#REF!</v>
      </c>
      <c r="I38" s="76" t="e" cm="1">
        <f t="array" ref="I38">SUMPRODUCT(((#REF!="Về nhà")*(#REF!="F2. Truyền thông, sinh hoạt nhóm, vòng tròn chia sẻ, trị liệu nghệ thuật")*(#REF!="Sinh hoạt nhóm"))*(INDEX(#REF!,MATCH(#REF!,#REF!,0))="Người bán dâm (SW)")/(COUNTIFS(#REF!,#REF!,#REF!,"F2. Truyền thông, sinh hoạt nhóm, vòng tròn chia sẻ, trị liệu nghệ thuật",#REF!,"Sinh hoạt nhóm")+(COUNTIFS(#REF!,#REF!,#REF!,"F2. Truyền thông, sinh hoạt nhóm, vòng tròn chia sẻ, trị liệu nghệ thuật",#REF!,"Sinh hoạt nhóm")=0)))</f>
        <v>#REF!</v>
      </c>
      <c r="J38" s="76" t="e" cm="1">
        <f t="array" ref="J38">SUMPRODUCT(((#REF!="Về nhà")*(#REF!="F2. Truyền thông, sinh hoạt nhóm, vòng tròn chia sẻ, trị liệu nghệ thuật")*(#REF!="Sinh hoạt nhóm"))*(INDEX(#REF!,MATCH(#REF!,#REF!,0))="Nam quan hệ tình dục đồng giới (MSM)")/(COUNTIFS(#REF!,#REF!,#REF!,"F2. Truyền thông, sinh hoạt nhóm, vòng tròn chia sẻ, trị liệu nghệ thuật",#REF!,"Sinh hoạt nhóm")+(COUNTIFS(#REF!,#REF!,#REF!,"F2. Truyền thông, sinh hoạt nhóm, vòng tròn chia sẻ, trị liệu nghệ thuật",#REF!,"Sinh hoạt nhóm")=0)))</f>
        <v>#REF!</v>
      </c>
      <c r="K38" s="37" t="s">
        <v>35</v>
      </c>
      <c r="L38" s="37" t="s">
        <v>35</v>
      </c>
      <c r="M38" s="37" t="s">
        <v>35</v>
      </c>
      <c r="N38" s="37" t="s">
        <v>35</v>
      </c>
      <c r="O38" s="93"/>
      <c r="P38" s="31"/>
    </row>
    <row r="39" spans="2:16" ht="18" customHeight="1" x14ac:dyDescent="0.3">
      <c r="B39" s="39">
        <v>5</v>
      </c>
      <c r="C39" s="45" t="s">
        <v>80</v>
      </c>
      <c r="D39" s="62"/>
      <c r="E39" s="79" t="e" cm="1">
        <f t="array" ref="E39">SUMPRODUCT((#REF!="Về nhà")*(#REF!="F2. Truyền thông, sinh hoạt nhóm, vòng tròn chia sẻ, trị liệu nghệ thuật")*(#REF!="Can thiệp chữa lành"))</f>
        <v>#REF!</v>
      </c>
      <c r="F39" s="79" t="e" cm="1">
        <f t="array" ref="F39">SUMPRODUCT((#REF!="Về nhà")*(#REF!="F2. Truyền thông, sinh hoạt nhóm, vòng tròn chia sẻ, trị liệu nghệ thuật")*(#REF!="Can thiệp chữa lành")*(INDEX(#REF!,MATCH(#REF!,#REF!,0))="Người sử dụng ma túy (PUD)"))</f>
        <v>#REF!</v>
      </c>
      <c r="G39" s="79" t="e" cm="1">
        <f t="array" ref="G39">SUMPRODUCT((#REF!="Về nhà")*(#REF!="F2. Truyền thông, sinh hoạt nhóm, vòng tròn chia sẻ, trị liệu nghệ thuật")*(#REF!="Can thiệp chữa lành")*(INDEX(#REF!,MATCH(#REF!,#REF!,0))="Người sống chung với HIV (PLHIV)"))</f>
        <v>#REF!</v>
      </c>
      <c r="H39" s="79" t="e" cm="1">
        <f t="array" ref="H39">SUMPRODUCT((#REF!="Về nhà")*(#REF!="F2. Truyền thông, sinh hoạt nhóm, vòng tròn chia sẻ, trị liệu nghệ thuật")*(#REF!="Can thiệp chữa lành")*(INDEX(#REF!,MATCH(#REF!,#REF!,0))="Người chuyển giới (TG)"))</f>
        <v>#REF!</v>
      </c>
      <c r="I39" s="76" t="e" cm="1">
        <f t="array" ref="I39">SUMPRODUCT((#REF!="Về nhà")*(#REF!="F2. Truyền thông, sinh hoạt nhóm, vòng tròn chia sẻ, trị liệu nghệ thuật")*(#REF!="Can thiệp chữa lành")*(INDEX(#REF!,MATCH(#REF!,#REF!,0))="Người bán dâm (SW)"))</f>
        <v>#REF!</v>
      </c>
      <c r="J39" s="76" t="e" cm="1">
        <f t="array" ref="J39">SUMPRODUCT((#REF!="Về nhà")*(#REF!="F2. Truyền thông, sinh hoạt nhóm, vòng tròn chia sẻ, trị liệu nghệ thuật")*(#REF!="Can thiệp chữa lành")*(INDEX(#REF!,MATCH(#REF!,#REF!,0))="Nam quan hệ tình dục đồng giới (MSM)"))</f>
        <v>#REF!</v>
      </c>
      <c r="K39" s="37" t="s">
        <v>35</v>
      </c>
      <c r="L39" s="37" t="s">
        <v>35</v>
      </c>
      <c r="M39" s="37" t="s">
        <v>35</v>
      </c>
      <c r="N39" s="37" t="s">
        <v>35</v>
      </c>
      <c r="O39" s="93"/>
      <c r="P39" s="31"/>
    </row>
    <row r="40" spans="2:16" ht="18" customHeight="1" x14ac:dyDescent="0.3">
      <c r="B40" s="20">
        <v>6</v>
      </c>
      <c r="C40" s="56" t="s">
        <v>81</v>
      </c>
      <c r="D40" s="62"/>
      <c r="E40" s="79" t="e" cm="1">
        <f t="array" ref="E40">SUMPRODUCT(((#REF!="Về nhà")*(#REF!="F2. Truyền thông, sinh hoạt nhóm, vòng tròn chia sẻ, trị liệu nghệ thuật")*(#REF!="Can thiệp chữa lành"))/(COUNTIFS(#REF!,#REF!,#REF!,"F2. Truyền thông, sinh hoạt nhóm, vòng tròn chia sẻ, trị liệu nghệ thuật",#REF!,"Can thiệp chữa lành")+(COUNTIFS(#REF!,#REF!,#REF!,"F2. Truyền thông, sinh hoạt nhóm, vòng tròn chia sẻ, trị liệu nghệ thuật",#REF!,"Can thiệp chữa lành")=0)))</f>
        <v>#REF!</v>
      </c>
      <c r="F40" s="79" t="e" cm="1">
        <f t="array" ref="F40">SUMPRODUCT(((#REF!="Về nhà")*(#REF!="F2. Truyền thông, sinh hoạt nhóm, vòng tròn chia sẻ, trị liệu nghệ thuật")*(#REF!="Can thiệp chữa lành"))*(INDEX(#REF!,MATCH(#REF!,#REF!,0))="Người sử dụng ma túy (PUD)")/(COUNTIFS(#REF!,#REF!,#REF!,"F2. Truyền thông, sinh hoạt nhóm, vòng tròn chia sẻ, trị liệu nghệ thuật",#REF!,"Can thiệp chữa lành")+(COUNTIFS(#REF!,#REF!,#REF!,"F2. Truyền thông, sinh hoạt nhóm, vòng tròn chia sẻ, trị liệu nghệ thuật",#REF!,"Can thiệp chữa lành")=0)))</f>
        <v>#REF!</v>
      </c>
      <c r="G40" s="79" t="e" cm="1">
        <f t="array" ref="G40">SUMPRODUCT(((#REF!="Về nhà")*(#REF!="F2. Truyền thông, sinh hoạt nhóm, vòng tròn chia sẻ, trị liệu nghệ thuật")*(#REF!="Can thiệp chữa lành"))*(INDEX(#REF!,MATCH(#REF!,#REF!,0))="Người sống chung với HIV (PLHIV)")/(COUNTIFS(#REF!,#REF!,#REF!,"F2. Truyền thông, sinh hoạt nhóm, vòng tròn chia sẻ, trị liệu nghệ thuật",#REF!,"Can thiệp chữa lành")+(COUNTIFS(#REF!,#REF!,#REF!,"F2. Truyền thông, sinh hoạt nhóm, vòng tròn chia sẻ, trị liệu nghệ thuật",#REF!,"Can thiệp chữa lành")=0)))</f>
        <v>#REF!</v>
      </c>
      <c r="H40" s="79" t="e" cm="1">
        <f t="array" ref="H40">SUMPRODUCT(((#REF!="Về nhà")*(#REF!="F2. Truyền thông, sinh hoạt nhóm, vòng tròn chia sẻ, trị liệu nghệ thuật")*(#REF!="Can thiệp chữa lành"))*(INDEX(#REF!,MATCH(#REF!,#REF!,0))="Người chuyển giới (TG)")/(COUNTIFS(#REF!,#REF!,#REF!,"F2. Truyền thông, sinh hoạt nhóm, vòng tròn chia sẻ, trị liệu nghệ thuật",#REF!,"Can thiệp chữa lành")+(COUNTIFS(#REF!,#REF!,#REF!,"F2. Truyền thông, sinh hoạt nhóm, vòng tròn chia sẻ, trị liệu nghệ thuật",#REF!,"Can thiệp chữa lành")=0)))</f>
        <v>#REF!</v>
      </c>
      <c r="I40" s="76" t="e" cm="1">
        <f t="array" ref="I40">SUMPRODUCT(((#REF!="Về nhà")*(#REF!="F2. Truyền thông, sinh hoạt nhóm, vòng tròn chia sẻ, trị liệu nghệ thuật")*(#REF!="Can thiệp chữa lành"))*(INDEX(#REF!,MATCH(#REF!,#REF!,0))="Người bán dâm (SW)")/(COUNTIFS(#REF!,#REF!,#REF!,"F2. Truyền thông, sinh hoạt nhóm, vòng tròn chia sẻ, trị liệu nghệ thuật",#REF!,"Can thiệp chữa lành")+(COUNTIFS(#REF!,#REF!,#REF!,"F2. Truyền thông, sinh hoạt nhóm, vòng tròn chia sẻ, trị liệu nghệ thuật",#REF!,"Can thiệp chữa lành")=0)))</f>
        <v>#REF!</v>
      </c>
      <c r="J40" s="76" t="e" cm="1">
        <f t="array" ref="J40">SUMPRODUCT(((#REF!="Về nhà")*(#REF!="F2. Truyền thông, sinh hoạt nhóm, vòng tròn chia sẻ, trị liệu nghệ thuật")*(#REF!="Can thiệp chữa lành"))*(INDEX(#REF!,MATCH(#REF!,#REF!,0))="Nam quan hệ tình dục đồng giới (MSM)")/(COUNTIFS(#REF!,#REF!,#REF!,"F2. Truyền thông, sinh hoạt nhóm, vòng tròn chia sẻ, trị liệu nghệ thuật",#REF!,"Can thiệp chữa lành")+(COUNTIFS(#REF!,#REF!,#REF!,"F2. Truyền thông, sinh hoạt nhóm, vòng tròn chia sẻ, trị liệu nghệ thuật",#REF!,"Can thiệp chữa lành")=0)))</f>
        <v>#REF!</v>
      </c>
      <c r="K40" s="37" t="s">
        <v>35</v>
      </c>
      <c r="L40" s="37" t="s">
        <v>35</v>
      </c>
      <c r="M40" s="37" t="s">
        <v>35</v>
      </c>
      <c r="N40" s="37" t="s">
        <v>35</v>
      </c>
      <c r="O40" s="93"/>
      <c r="P40" s="31"/>
    </row>
    <row r="41" spans="2:16" s="8" customFormat="1" ht="18" customHeight="1" x14ac:dyDescent="0.3">
      <c r="B41" s="47" t="s">
        <v>82</v>
      </c>
      <c r="C41" s="63" t="s">
        <v>83</v>
      </c>
      <c r="D41" s="64"/>
      <c r="E41" s="6"/>
      <c r="F41" s="6"/>
      <c r="G41" s="6"/>
      <c r="H41" s="6"/>
      <c r="I41" s="41"/>
      <c r="J41" s="41"/>
      <c r="K41" s="54"/>
      <c r="L41" s="54"/>
      <c r="M41" s="54"/>
      <c r="N41" s="54"/>
      <c r="O41" s="65"/>
      <c r="P41" s="31"/>
    </row>
    <row r="42" spans="2:16" ht="22.5" customHeight="1" x14ac:dyDescent="0.3">
      <c r="B42" s="20">
        <v>1</v>
      </c>
      <c r="C42" s="94" t="s">
        <v>84</v>
      </c>
      <c r="D42" s="94"/>
      <c r="E42" s="19"/>
      <c r="F42" s="19"/>
      <c r="G42" s="19"/>
      <c r="H42" s="19"/>
      <c r="I42" s="34"/>
      <c r="J42" s="34"/>
      <c r="K42" s="37" t="s">
        <v>35</v>
      </c>
      <c r="L42" s="37" t="s">
        <v>35</v>
      </c>
      <c r="M42" s="37" t="s">
        <v>35</v>
      </c>
      <c r="N42" s="37" t="s">
        <v>35</v>
      </c>
      <c r="O42" s="95" t="s">
        <v>85</v>
      </c>
      <c r="P42" s="31" t="s">
        <v>86</v>
      </c>
    </row>
    <row r="43" spans="2:16" ht="22.5" customHeight="1" x14ac:dyDescent="0.25">
      <c r="B43" s="20">
        <v>2</v>
      </c>
      <c r="C43" s="94" t="s">
        <v>87</v>
      </c>
      <c r="D43" s="94"/>
      <c r="E43" s="36"/>
      <c r="F43" s="36"/>
      <c r="G43" s="36"/>
      <c r="H43" s="36"/>
      <c r="I43" s="34"/>
      <c r="J43" s="34"/>
      <c r="K43" s="37" t="s">
        <v>35</v>
      </c>
      <c r="L43" s="37" t="s">
        <v>35</v>
      </c>
      <c r="M43" s="37" t="s">
        <v>35</v>
      </c>
      <c r="N43" s="37" t="s">
        <v>35</v>
      </c>
      <c r="O43" s="95"/>
      <c r="P43" s="31" t="s">
        <v>86</v>
      </c>
    </row>
    <row r="44" spans="2:16" ht="18" customHeight="1" x14ac:dyDescent="0.25">
      <c r="B44" s="26" t="s">
        <v>88</v>
      </c>
      <c r="C44" s="4" t="s">
        <v>89</v>
      </c>
      <c r="D44" s="66"/>
      <c r="E44" s="36"/>
      <c r="F44" s="36"/>
      <c r="G44" s="36"/>
      <c r="H44" s="36"/>
      <c r="I44" s="34"/>
      <c r="J44" s="34"/>
      <c r="K44" s="37"/>
      <c r="L44" s="37"/>
      <c r="M44" s="37"/>
      <c r="N44" s="37"/>
      <c r="O44" s="38"/>
      <c r="P44" s="31"/>
    </row>
    <row r="45" spans="2:16" ht="16.5" customHeight="1" x14ac:dyDescent="0.25">
      <c r="B45" s="96">
        <v>1</v>
      </c>
      <c r="C45" s="97" t="s">
        <v>90</v>
      </c>
      <c r="D45" s="67" t="s">
        <v>91</v>
      </c>
      <c r="E45" s="36"/>
      <c r="F45" s="36"/>
      <c r="G45" s="36"/>
      <c r="H45" s="36"/>
      <c r="I45" s="34"/>
      <c r="J45" s="34"/>
      <c r="K45" s="37" t="s">
        <v>35</v>
      </c>
      <c r="L45" s="37" t="s">
        <v>35</v>
      </c>
      <c r="M45" s="37" t="s">
        <v>35</v>
      </c>
      <c r="N45" s="37" t="s">
        <v>35</v>
      </c>
      <c r="O45" s="98" t="s">
        <v>92</v>
      </c>
      <c r="P45" s="31"/>
    </row>
    <row r="46" spans="2:16" ht="16.5" customHeight="1" x14ac:dyDescent="0.25">
      <c r="B46" s="96"/>
      <c r="C46" s="96"/>
      <c r="D46" s="67" t="s">
        <v>93</v>
      </c>
      <c r="E46" s="36"/>
      <c r="F46" s="36"/>
      <c r="G46" s="36"/>
      <c r="H46" s="36"/>
      <c r="I46" s="34"/>
      <c r="J46" s="34"/>
      <c r="K46" s="37" t="s">
        <v>35</v>
      </c>
      <c r="L46" s="37" t="s">
        <v>35</v>
      </c>
      <c r="M46" s="37" t="s">
        <v>35</v>
      </c>
      <c r="N46" s="37" t="s">
        <v>35</v>
      </c>
      <c r="O46" s="98"/>
      <c r="P46" s="31"/>
    </row>
    <row r="47" spans="2:16" ht="16.5" customHeight="1" x14ac:dyDescent="0.25">
      <c r="B47" s="96"/>
      <c r="C47" s="96"/>
      <c r="D47" s="67" t="s">
        <v>94</v>
      </c>
      <c r="E47" s="36"/>
      <c r="F47" s="36"/>
      <c r="G47" s="36"/>
      <c r="H47" s="36"/>
      <c r="I47" s="34"/>
      <c r="J47" s="34"/>
      <c r="K47" s="37" t="s">
        <v>35</v>
      </c>
      <c r="L47" s="37" t="s">
        <v>35</v>
      </c>
      <c r="M47" s="37" t="s">
        <v>35</v>
      </c>
      <c r="N47" s="37" t="s">
        <v>35</v>
      </c>
      <c r="O47" s="98"/>
      <c r="P47" s="31"/>
    </row>
    <row r="48" spans="2:16" ht="16.5" customHeight="1" x14ac:dyDescent="0.25">
      <c r="B48" s="96"/>
      <c r="C48" s="96"/>
      <c r="D48" s="67" t="s">
        <v>95</v>
      </c>
      <c r="E48" s="36"/>
      <c r="F48" s="36"/>
      <c r="G48" s="36"/>
      <c r="H48" s="36"/>
      <c r="I48" s="34"/>
      <c r="J48" s="34"/>
      <c r="K48" s="37" t="s">
        <v>35</v>
      </c>
      <c r="L48" s="37" t="s">
        <v>35</v>
      </c>
      <c r="M48" s="37" t="s">
        <v>35</v>
      </c>
      <c r="N48" s="37" t="s">
        <v>35</v>
      </c>
      <c r="O48" s="98"/>
      <c r="P48" s="31"/>
    </row>
    <row r="49" spans="1:16" ht="16.5" customHeight="1" x14ac:dyDescent="0.25">
      <c r="B49" s="96"/>
      <c r="C49" s="96"/>
      <c r="D49" s="67" t="s">
        <v>96</v>
      </c>
      <c r="E49" s="36"/>
      <c r="F49" s="36"/>
      <c r="G49" s="36"/>
      <c r="H49" s="36"/>
      <c r="I49" s="34"/>
      <c r="J49" s="34"/>
      <c r="K49" s="37" t="s">
        <v>35</v>
      </c>
      <c r="L49" s="37" t="s">
        <v>35</v>
      </c>
      <c r="M49" s="37" t="s">
        <v>35</v>
      </c>
      <c r="N49" s="37" t="s">
        <v>35</v>
      </c>
      <c r="O49" s="98"/>
      <c r="P49" s="31"/>
    </row>
    <row r="50" spans="1:16" ht="16.5" customHeight="1" x14ac:dyDescent="0.25">
      <c r="B50" s="96"/>
      <c r="C50" s="96"/>
      <c r="D50" s="67" t="s">
        <v>97</v>
      </c>
      <c r="E50" s="36"/>
      <c r="F50" s="36"/>
      <c r="G50" s="36"/>
      <c r="H50" s="36"/>
      <c r="I50" s="34"/>
      <c r="J50" s="34"/>
      <c r="K50" s="37" t="s">
        <v>35</v>
      </c>
      <c r="L50" s="37" t="s">
        <v>35</v>
      </c>
      <c r="M50" s="37" t="s">
        <v>35</v>
      </c>
      <c r="N50" s="37" t="s">
        <v>35</v>
      </c>
      <c r="O50" s="98"/>
      <c r="P50" s="31"/>
    </row>
    <row r="51" spans="1:16" ht="18" customHeight="1" x14ac:dyDescent="0.25">
      <c r="B51" s="26" t="s">
        <v>98</v>
      </c>
      <c r="C51" s="4" t="s">
        <v>99</v>
      </c>
      <c r="D51" s="3"/>
      <c r="E51" s="1"/>
      <c r="F51" s="1"/>
      <c r="G51" s="1"/>
      <c r="H51" s="1"/>
      <c r="I51" s="34"/>
      <c r="J51" s="34"/>
      <c r="K51" s="37"/>
      <c r="L51" s="37"/>
      <c r="M51" s="37"/>
      <c r="N51" s="37"/>
      <c r="O51" s="38"/>
      <c r="P51" s="31"/>
    </row>
    <row r="52" spans="1:16" ht="63" customHeight="1" x14ac:dyDescent="0.25">
      <c r="B52" s="20">
        <v>1</v>
      </c>
      <c r="C52" s="3" t="s">
        <v>100</v>
      </c>
      <c r="D52" s="3"/>
      <c r="E52" s="1"/>
      <c r="F52" s="1"/>
      <c r="G52" s="1"/>
      <c r="H52" s="1"/>
      <c r="I52" s="34"/>
      <c r="J52" s="34"/>
      <c r="K52" s="37" t="s">
        <v>35</v>
      </c>
      <c r="L52" s="37" t="s">
        <v>35</v>
      </c>
      <c r="M52" s="37" t="s">
        <v>35</v>
      </c>
      <c r="N52" s="37" t="s">
        <v>35</v>
      </c>
      <c r="O52" s="91" t="s">
        <v>101</v>
      </c>
      <c r="P52" s="31"/>
    </row>
    <row r="53" spans="1:16" ht="63" customHeight="1" x14ac:dyDescent="0.25">
      <c r="B53" s="20">
        <v>2</v>
      </c>
      <c r="C53" s="3" t="s">
        <v>102</v>
      </c>
      <c r="D53" s="3"/>
      <c r="E53" s="1"/>
      <c r="F53" s="1"/>
      <c r="G53" s="1"/>
      <c r="H53" s="1"/>
      <c r="I53" s="34"/>
      <c r="J53" s="34"/>
      <c r="K53" s="37" t="s">
        <v>35</v>
      </c>
      <c r="L53" s="37" t="s">
        <v>35</v>
      </c>
      <c r="M53" s="37" t="s">
        <v>35</v>
      </c>
      <c r="N53" s="37" t="s">
        <v>35</v>
      </c>
      <c r="O53" s="91"/>
      <c r="P53" s="31"/>
    </row>
    <row r="54" spans="1:16" ht="15" customHeight="1" x14ac:dyDescent="0.25">
      <c r="P54" s="68"/>
    </row>
    <row r="55" spans="1:16" ht="14.25" customHeight="1" x14ac:dyDescent="0.25">
      <c r="B55" s="69"/>
      <c r="E55" s="70"/>
      <c r="F55" s="70"/>
    </row>
    <row r="56" spans="1:16" ht="16.5" customHeight="1" x14ac:dyDescent="0.35">
      <c r="A56" s="92"/>
      <c r="B56" s="92"/>
      <c r="C56" s="71"/>
      <c r="E56" s="72"/>
      <c r="F56" s="72"/>
    </row>
  </sheetData>
  <autoFilter ref="B4:O53" xr:uid="{00000000-0009-0000-0000-000001000000}">
    <filterColumn colId="0" hiddenButton="1"/>
  </autoFilter>
  <mergeCells count="26">
    <mergeCell ref="O52:O53"/>
    <mergeCell ref="A56:B56"/>
    <mergeCell ref="O37:O40"/>
    <mergeCell ref="C42:D42"/>
    <mergeCell ref="O42:O43"/>
    <mergeCell ref="C43:D43"/>
    <mergeCell ref="B45:B50"/>
    <mergeCell ref="C45:C50"/>
    <mergeCell ref="O45:O50"/>
    <mergeCell ref="C14:D14"/>
    <mergeCell ref="C19:D19"/>
    <mergeCell ref="O25:O29"/>
    <mergeCell ref="O31:O36"/>
    <mergeCell ref="C33:D33"/>
    <mergeCell ref="C7:D7"/>
    <mergeCell ref="C8:D8"/>
    <mergeCell ref="C9:D9"/>
    <mergeCell ref="C10:D10"/>
    <mergeCell ref="O10:O12"/>
    <mergeCell ref="C11:D11"/>
    <mergeCell ref="C12:D12"/>
    <mergeCell ref="F3:J3"/>
    <mergeCell ref="K3:N3"/>
    <mergeCell ref="C4:D4"/>
    <mergeCell ref="C5:D5"/>
    <mergeCell ref="C6:D6"/>
  </mergeCells>
  <pageMargins left="0.7" right="0.7" top="0.75" bottom="0.75" header="0.511811023622047" footer="0.511811023622047"/>
  <pageSetup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6"/>
  <sheetViews>
    <sheetView tabSelected="1" zoomScale="80" zoomScaleNormal="80" workbookViewId="0">
      <pane ySplit="4" topLeftCell="A5" activePane="bottomLeft" state="frozen"/>
      <selection pane="bottomLeft" activeCell="C5" sqref="C5:D5"/>
    </sheetView>
  </sheetViews>
  <sheetFormatPr defaultColWidth="8.59765625" defaultRowHeight="13.8" x14ac:dyDescent="0.25"/>
  <cols>
    <col min="3" max="3" width="47" customWidth="1"/>
    <col min="4" max="4" width="30.69921875" customWidth="1"/>
    <col min="5" max="5" width="9" style="12" customWidth="1"/>
    <col min="6" max="6" width="9.5" style="12" customWidth="1"/>
    <col min="7" max="7" width="9.296875" style="12" customWidth="1"/>
    <col min="8" max="8" width="9" style="12" customWidth="1"/>
  </cols>
  <sheetData>
    <row r="1" spans="2:8" ht="16.8" x14ac:dyDescent="0.25">
      <c r="C1" s="14" t="s">
        <v>15</v>
      </c>
    </row>
    <row r="2" spans="2:8" ht="18" customHeight="1" x14ac:dyDescent="0.3">
      <c r="B2" s="13"/>
      <c r="C2" s="18" t="s">
        <v>16</v>
      </c>
      <c r="D2" s="15"/>
      <c r="E2" s="17"/>
      <c r="F2" s="17"/>
      <c r="G2" s="17"/>
      <c r="H2" s="17"/>
    </row>
    <row r="3" spans="2:8" ht="18.75" customHeight="1" x14ac:dyDescent="0.3">
      <c r="B3" s="13"/>
      <c r="D3" s="18"/>
      <c r="E3" s="81" t="s">
        <v>2</v>
      </c>
      <c r="F3" s="81"/>
      <c r="G3" s="81"/>
      <c r="H3" s="81"/>
    </row>
    <row r="4" spans="2:8" ht="29.25" customHeight="1" x14ac:dyDescent="0.25">
      <c r="B4" s="20" t="s">
        <v>18</v>
      </c>
      <c r="C4" s="82" t="s">
        <v>19</v>
      </c>
      <c r="D4" s="82"/>
      <c r="E4" s="23" t="s">
        <v>26</v>
      </c>
      <c r="F4" s="23" t="s">
        <v>27</v>
      </c>
      <c r="G4" s="23" t="s">
        <v>28</v>
      </c>
      <c r="H4" s="23" t="s">
        <v>29</v>
      </c>
    </row>
    <row r="5" spans="2:8" ht="33.75" customHeight="1" x14ac:dyDescent="0.25">
      <c r="B5" s="26" t="s">
        <v>32</v>
      </c>
      <c r="C5" s="83" t="s">
        <v>33</v>
      </c>
      <c r="D5" s="83"/>
      <c r="E5" s="29"/>
      <c r="F5" s="29"/>
      <c r="G5" s="29"/>
      <c r="H5" s="29"/>
    </row>
    <row r="6" spans="2:8" ht="33" customHeight="1" x14ac:dyDescent="0.25">
      <c r="B6" s="20">
        <v>1</v>
      </c>
      <c r="C6" s="84" t="s">
        <v>34</v>
      </c>
      <c r="D6" s="84"/>
      <c r="E6" s="32"/>
      <c r="F6" s="32" t="s">
        <v>35</v>
      </c>
      <c r="G6" s="32" t="s">
        <v>35</v>
      </c>
      <c r="H6" s="32" t="s">
        <v>35</v>
      </c>
    </row>
    <row r="7" spans="2:8" ht="34.5" customHeight="1" x14ac:dyDescent="0.25">
      <c r="B7" s="20">
        <v>2</v>
      </c>
      <c r="C7" s="85" t="s">
        <v>37</v>
      </c>
      <c r="D7" s="85"/>
      <c r="E7" s="32" t="s">
        <v>35</v>
      </c>
      <c r="F7" s="32" t="s">
        <v>35</v>
      </c>
      <c r="G7" s="32" t="s">
        <v>35</v>
      </c>
      <c r="H7" s="32" t="s">
        <v>35</v>
      </c>
    </row>
    <row r="8" spans="2:8" ht="18" customHeight="1" x14ac:dyDescent="0.25">
      <c r="B8" s="20">
        <v>3</v>
      </c>
      <c r="C8" s="85" t="s">
        <v>38</v>
      </c>
      <c r="D8" s="85"/>
      <c r="E8" s="32"/>
      <c r="F8" s="32" t="s">
        <v>35</v>
      </c>
      <c r="G8" s="32" t="s">
        <v>35</v>
      </c>
      <c r="H8" s="32" t="s">
        <v>35</v>
      </c>
    </row>
    <row r="9" spans="2:8" ht="18" customHeight="1" x14ac:dyDescent="0.25">
      <c r="B9" s="26" t="s">
        <v>41</v>
      </c>
      <c r="C9" s="86" t="s">
        <v>42</v>
      </c>
      <c r="D9" s="86"/>
      <c r="E9" s="37"/>
      <c r="F9" s="37"/>
      <c r="G9" s="37"/>
      <c r="H9" s="37"/>
    </row>
    <row r="10" spans="2:8" ht="24" customHeight="1" x14ac:dyDescent="0.25">
      <c r="B10" s="20">
        <v>1</v>
      </c>
      <c r="C10" s="87" t="s">
        <v>43</v>
      </c>
      <c r="D10" s="87"/>
      <c r="E10" s="37" t="s">
        <v>35</v>
      </c>
      <c r="F10" s="37" t="s">
        <v>35</v>
      </c>
      <c r="G10" s="37" t="s">
        <v>35</v>
      </c>
      <c r="H10" s="37" t="s">
        <v>35</v>
      </c>
    </row>
    <row r="11" spans="2:8" ht="18" customHeight="1" x14ac:dyDescent="0.25">
      <c r="B11" s="39">
        <v>2</v>
      </c>
      <c r="C11" s="87" t="s">
        <v>45</v>
      </c>
      <c r="D11" s="87"/>
      <c r="E11" s="37" t="s">
        <v>35</v>
      </c>
      <c r="F11" s="37" t="s">
        <v>35</v>
      </c>
      <c r="G11" s="37" t="s">
        <v>35</v>
      </c>
      <c r="H11" s="37" t="s">
        <v>35</v>
      </c>
    </row>
    <row r="12" spans="2:8" ht="28.5" customHeight="1" x14ac:dyDescent="0.25">
      <c r="B12" s="20">
        <v>3</v>
      </c>
      <c r="C12" s="88" t="s">
        <v>46</v>
      </c>
      <c r="D12" s="88"/>
      <c r="E12" s="37" t="s">
        <v>35</v>
      </c>
      <c r="F12" s="37" t="s">
        <v>35</v>
      </c>
      <c r="G12" s="37" t="s">
        <v>35</v>
      </c>
      <c r="H12" s="37" t="s">
        <v>35</v>
      </c>
    </row>
    <row r="13" spans="2:8" ht="18" customHeight="1" x14ac:dyDescent="0.25">
      <c r="B13" s="26" t="s">
        <v>47</v>
      </c>
      <c r="C13" s="40" t="s">
        <v>48</v>
      </c>
      <c r="D13" s="2"/>
      <c r="E13" s="37"/>
      <c r="F13" s="37"/>
      <c r="G13" s="37"/>
      <c r="H13" s="37"/>
    </row>
    <row r="14" spans="2:8" s="8" customFormat="1" ht="18" customHeight="1" x14ac:dyDescent="0.25">
      <c r="B14" s="39">
        <v>1</v>
      </c>
      <c r="C14" s="89" t="s">
        <v>50</v>
      </c>
      <c r="D14" s="89"/>
      <c r="E14" s="37" t="s">
        <v>35</v>
      </c>
      <c r="F14" s="37" t="s">
        <v>35</v>
      </c>
      <c r="G14" s="37" t="s">
        <v>35</v>
      </c>
      <c r="H14" s="37" t="s">
        <v>35</v>
      </c>
    </row>
    <row r="15" spans="2:8" s="8" customFormat="1" ht="18" customHeight="1" x14ac:dyDescent="0.3">
      <c r="B15" s="20"/>
      <c r="C15" s="43" t="s">
        <v>51</v>
      </c>
      <c r="D15" s="44" t="s">
        <v>52</v>
      </c>
      <c r="E15" s="37" t="s">
        <v>35</v>
      </c>
      <c r="F15" s="37" t="s">
        <v>35</v>
      </c>
      <c r="G15" s="37" t="s">
        <v>35</v>
      </c>
      <c r="H15" s="37" t="s">
        <v>35</v>
      </c>
    </row>
    <row r="16" spans="2:8" s="8" customFormat="1" ht="18" customHeight="1" x14ac:dyDescent="0.3">
      <c r="B16" s="20"/>
      <c r="C16" s="43"/>
      <c r="D16" s="44" t="s">
        <v>53</v>
      </c>
      <c r="E16" s="37" t="s">
        <v>35</v>
      </c>
      <c r="F16" s="37" t="s">
        <v>35</v>
      </c>
      <c r="G16" s="37" t="s">
        <v>35</v>
      </c>
      <c r="H16" s="37" t="s">
        <v>35</v>
      </c>
    </row>
    <row r="17" spans="2:8" s="8" customFormat="1" ht="18" customHeight="1" x14ac:dyDescent="0.3">
      <c r="B17" s="20"/>
      <c r="C17" s="43"/>
      <c r="D17" s="44" t="s">
        <v>54</v>
      </c>
      <c r="E17" s="37" t="s">
        <v>35</v>
      </c>
      <c r="F17" s="37" t="s">
        <v>35</v>
      </c>
      <c r="G17" s="37" t="s">
        <v>35</v>
      </c>
      <c r="H17" s="37" t="s">
        <v>35</v>
      </c>
    </row>
    <row r="18" spans="2:8" s="8" customFormat="1" ht="18" customHeight="1" x14ac:dyDescent="0.3">
      <c r="B18" s="20"/>
      <c r="C18" s="43"/>
      <c r="D18" s="44" t="s">
        <v>55</v>
      </c>
      <c r="E18" s="37" t="s">
        <v>35</v>
      </c>
      <c r="F18" s="37" t="s">
        <v>35</v>
      </c>
      <c r="G18" s="37" t="s">
        <v>35</v>
      </c>
      <c r="H18" s="37" t="s">
        <v>35</v>
      </c>
    </row>
    <row r="19" spans="2:8" s="8" customFormat="1" ht="18" customHeight="1" x14ac:dyDescent="0.25">
      <c r="B19" s="39">
        <v>2</v>
      </c>
      <c r="C19" s="89" t="s">
        <v>56</v>
      </c>
      <c r="D19" s="89"/>
      <c r="E19" s="37" t="s">
        <v>35</v>
      </c>
      <c r="F19" s="37" t="s">
        <v>35</v>
      </c>
      <c r="G19" s="37" t="s">
        <v>35</v>
      </c>
      <c r="H19" s="37" t="s">
        <v>35</v>
      </c>
    </row>
    <row r="20" spans="2:8" s="8" customFormat="1" ht="18" customHeight="1" x14ac:dyDescent="0.3">
      <c r="B20" s="20"/>
      <c r="C20" s="43" t="s">
        <v>58</v>
      </c>
      <c r="D20" s="44" t="s">
        <v>52</v>
      </c>
      <c r="E20" s="37" t="s">
        <v>35</v>
      </c>
      <c r="F20" s="37" t="s">
        <v>35</v>
      </c>
      <c r="G20" s="37" t="s">
        <v>35</v>
      </c>
      <c r="H20" s="37" t="s">
        <v>35</v>
      </c>
    </row>
    <row r="21" spans="2:8" s="8" customFormat="1" ht="18" customHeight="1" x14ac:dyDescent="0.3">
      <c r="B21" s="20"/>
      <c r="C21" s="43"/>
      <c r="D21" s="44" t="s">
        <v>53</v>
      </c>
      <c r="E21" s="37" t="s">
        <v>35</v>
      </c>
      <c r="F21" s="37" t="s">
        <v>35</v>
      </c>
      <c r="G21" s="37" t="s">
        <v>35</v>
      </c>
      <c r="H21" s="37" t="s">
        <v>35</v>
      </c>
    </row>
    <row r="22" spans="2:8" s="8" customFormat="1" ht="18" customHeight="1" x14ac:dyDescent="0.3">
      <c r="B22" s="20"/>
      <c r="C22" s="43"/>
      <c r="D22" s="44" t="s">
        <v>54</v>
      </c>
      <c r="E22" s="37" t="s">
        <v>35</v>
      </c>
      <c r="F22" s="37" t="s">
        <v>35</v>
      </c>
      <c r="G22" s="37" t="s">
        <v>35</v>
      </c>
      <c r="H22" s="37" t="s">
        <v>35</v>
      </c>
    </row>
    <row r="23" spans="2:8" s="8" customFormat="1" ht="18" customHeight="1" x14ac:dyDescent="0.3">
      <c r="B23" s="20"/>
      <c r="C23" s="43"/>
      <c r="D23" s="44" t="s">
        <v>55</v>
      </c>
      <c r="E23" s="37" t="s">
        <v>35</v>
      </c>
      <c r="F23" s="37" t="s">
        <v>35</v>
      </c>
      <c r="G23" s="37" t="s">
        <v>35</v>
      </c>
      <c r="H23" s="37" t="s">
        <v>35</v>
      </c>
    </row>
    <row r="24" spans="2:8" s="8" customFormat="1" ht="18" customHeight="1" x14ac:dyDescent="0.3">
      <c r="B24" s="39">
        <v>3</v>
      </c>
      <c r="C24" s="45" t="s">
        <v>59</v>
      </c>
      <c r="D24" s="44"/>
      <c r="E24" s="37" t="s">
        <v>35</v>
      </c>
      <c r="F24" s="37" t="s">
        <v>35</v>
      </c>
      <c r="G24" s="37" t="s">
        <v>35</v>
      </c>
      <c r="H24" s="37" t="s">
        <v>35</v>
      </c>
    </row>
    <row r="25" spans="2:8" s="8" customFormat="1" ht="17.25" customHeight="1" x14ac:dyDescent="0.3">
      <c r="B25" s="39">
        <v>4</v>
      </c>
      <c r="C25" s="45" t="s">
        <v>61</v>
      </c>
      <c r="D25" s="46"/>
      <c r="E25" s="37" t="s">
        <v>35</v>
      </c>
      <c r="F25" s="37" t="s">
        <v>35</v>
      </c>
      <c r="G25" s="37" t="s">
        <v>35</v>
      </c>
      <c r="H25" s="37" t="s">
        <v>35</v>
      </c>
    </row>
    <row r="26" spans="2:8" s="8" customFormat="1" ht="18" customHeight="1" x14ac:dyDescent="0.3">
      <c r="B26" s="47"/>
      <c r="C26" s="48" t="s">
        <v>63</v>
      </c>
      <c r="D26" s="46"/>
      <c r="E26" s="37" t="s">
        <v>35</v>
      </c>
      <c r="F26" s="37" t="s">
        <v>35</v>
      </c>
      <c r="G26" s="37" t="s">
        <v>35</v>
      </c>
      <c r="H26" s="37" t="s">
        <v>35</v>
      </c>
    </row>
    <row r="27" spans="2:8" s="8" customFormat="1" ht="18" customHeight="1" x14ac:dyDescent="0.3">
      <c r="B27" s="47"/>
      <c r="C27" s="48" t="s">
        <v>64</v>
      </c>
      <c r="D27" s="46"/>
      <c r="E27" s="37" t="s">
        <v>35</v>
      </c>
      <c r="F27" s="37" t="s">
        <v>35</v>
      </c>
      <c r="G27" s="37" t="s">
        <v>35</v>
      </c>
      <c r="H27" s="37" t="s">
        <v>35</v>
      </c>
    </row>
    <row r="28" spans="2:8" s="8" customFormat="1" ht="18" customHeight="1" x14ac:dyDescent="0.3">
      <c r="B28" s="47"/>
      <c r="C28" s="48" t="s">
        <v>65</v>
      </c>
      <c r="D28" s="46"/>
      <c r="E28" s="37" t="s">
        <v>35</v>
      </c>
      <c r="F28" s="37" t="s">
        <v>35</v>
      </c>
      <c r="G28" s="37" t="s">
        <v>35</v>
      </c>
      <c r="H28" s="37" t="s">
        <v>35</v>
      </c>
    </row>
    <row r="29" spans="2:8" s="8" customFormat="1" ht="18" customHeight="1" x14ac:dyDescent="0.3">
      <c r="B29" s="39">
        <v>5</v>
      </c>
      <c r="C29" s="45" t="s">
        <v>66</v>
      </c>
      <c r="D29" s="46"/>
      <c r="E29" s="37" t="s">
        <v>35</v>
      </c>
      <c r="F29" s="37" t="s">
        <v>35</v>
      </c>
      <c r="G29" s="37" t="s">
        <v>35</v>
      </c>
      <c r="H29" s="37" t="s">
        <v>35</v>
      </c>
    </row>
    <row r="30" spans="2:8" s="8" customFormat="1" ht="33" customHeight="1" x14ac:dyDescent="0.3">
      <c r="B30" s="39">
        <v>6</v>
      </c>
      <c r="C30" s="45" t="s">
        <v>67</v>
      </c>
      <c r="D30" s="46"/>
      <c r="E30" s="37" t="s">
        <v>35</v>
      </c>
      <c r="F30" s="37" t="s">
        <v>35</v>
      </c>
      <c r="G30" s="37" t="s">
        <v>35</v>
      </c>
      <c r="H30" s="37" t="s">
        <v>35</v>
      </c>
    </row>
    <row r="31" spans="2:8" s="50" customFormat="1" ht="16.5" customHeight="1" x14ac:dyDescent="0.3">
      <c r="B31" s="51" t="s">
        <v>69</v>
      </c>
      <c r="C31" s="52" t="s">
        <v>70</v>
      </c>
      <c r="D31" s="53"/>
      <c r="E31" s="54"/>
      <c r="F31" s="54"/>
      <c r="G31" s="54"/>
      <c r="H31" s="54"/>
    </row>
    <row r="32" spans="2:8" s="50" customFormat="1" ht="16.5" customHeight="1" x14ac:dyDescent="0.3">
      <c r="B32" s="55">
        <v>1</v>
      </c>
      <c r="C32" s="56" t="s">
        <v>72</v>
      </c>
      <c r="D32" s="2"/>
      <c r="E32" s="37" t="s">
        <v>35</v>
      </c>
      <c r="F32" s="37" t="s">
        <v>35</v>
      </c>
      <c r="G32" s="37" t="s">
        <v>35</v>
      </c>
      <c r="H32" s="37" t="s">
        <v>35</v>
      </c>
    </row>
    <row r="33" spans="2:8" ht="18" customHeight="1" x14ac:dyDescent="0.3">
      <c r="B33" s="57">
        <v>2</v>
      </c>
      <c r="C33" s="90" t="s">
        <v>73</v>
      </c>
      <c r="D33" s="90"/>
      <c r="E33" s="37" t="s">
        <v>35</v>
      </c>
      <c r="F33" s="37" t="s">
        <v>35</v>
      </c>
      <c r="G33" s="37" t="s">
        <v>35</v>
      </c>
      <c r="H33" s="37" t="s">
        <v>35</v>
      </c>
    </row>
    <row r="34" spans="2:8" ht="18" customHeight="1" x14ac:dyDescent="0.3">
      <c r="B34" s="20"/>
      <c r="C34" s="58" t="s">
        <v>74</v>
      </c>
      <c r="D34" s="59"/>
      <c r="E34" s="37"/>
      <c r="F34" s="37" t="s">
        <v>35</v>
      </c>
      <c r="G34" s="37" t="s">
        <v>35</v>
      </c>
      <c r="H34" s="37" t="s">
        <v>35</v>
      </c>
    </row>
    <row r="35" spans="2:8" ht="18" customHeight="1" x14ac:dyDescent="0.3">
      <c r="B35" s="20"/>
      <c r="C35" s="60" t="s">
        <v>75</v>
      </c>
      <c r="D35" s="56"/>
      <c r="E35" s="37"/>
      <c r="F35" s="37" t="s">
        <v>35</v>
      </c>
      <c r="G35" s="37" t="s">
        <v>35</v>
      </c>
      <c r="H35" s="37" t="s">
        <v>35</v>
      </c>
    </row>
    <row r="36" spans="2:8" ht="18" customHeight="1" x14ac:dyDescent="0.3">
      <c r="B36" s="39"/>
      <c r="C36" s="61" t="s">
        <v>76</v>
      </c>
      <c r="D36" s="56"/>
      <c r="E36" s="37"/>
      <c r="F36" s="37" t="s">
        <v>35</v>
      </c>
      <c r="G36" s="37" t="s">
        <v>35</v>
      </c>
      <c r="H36" s="37" t="s">
        <v>35</v>
      </c>
    </row>
    <row r="37" spans="2:8" ht="18" customHeight="1" x14ac:dyDescent="0.3">
      <c r="B37" s="20">
        <v>3</v>
      </c>
      <c r="C37" s="56" t="s">
        <v>77</v>
      </c>
      <c r="D37" s="62"/>
      <c r="E37" s="37" t="s">
        <v>35</v>
      </c>
      <c r="F37" s="37" t="s">
        <v>35</v>
      </c>
      <c r="G37" s="37" t="s">
        <v>35</v>
      </c>
      <c r="H37" s="37" t="s">
        <v>35</v>
      </c>
    </row>
    <row r="38" spans="2:8" ht="18" customHeight="1" x14ac:dyDescent="0.3">
      <c r="B38" s="39">
        <v>4</v>
      </c>
      <c r="C38" s="45" t="s">
        <v>79</v>
      </c>
      <c r="D38" s="62"/>
      <c r="E38" s="37" t="s">
        <v>35</v>
      </c>
      <c r="F38" s="37" t="s">
        <v>35</v>
      </c>
      <c r="G38" s="37" t="s">
        <v>35</v>
      </c>
      <c r="H38" s="37" t="s">
        <v>35</v>
      </c>
    </row>
    <row r="39" spans="2:8" ht="18" customHeight="1" x14ac:dyDescent="0.3">
      <c r="B39" s="39">
        <v>5</v>
      </c>
      <c r="C39" s="45" t="s">
        <v>80</v>
      </c>
      <c r="D39" s="62"/>
      <c r="E39" s="37" t="s">
        <v>35</v>
      </c>
      <c r="F39" s="37" t="s">
        <v>35</v>
      </c>
      <c r="G39" s="37" t="s">
        <v>35</v>
      </c>
      <c r="H39" s="37" t="s">
        <v>35</v>
      </c>
    </row>
    <row r="40" spans="2:8" ht="18" customHeight="1" x14ac:dyDescent="0.3">
      <c r="B40" s="20">
        <v>6</v>
      </c>
      <c r="C40" s="56" t="s">
        <v>81</v>
      </c>
      <c r="D40" s="62"/>
      <c r="E40" s="37" t="s">
        <v>35</v>
      </c>
      <c r="F40" s="37" t="s">
        <v>35</v>
      </c>
      <c r="G40" s="37" t="s">
        <v>35</v>
      </c>
      <c r="H40" s="37" t="s">
        <v>35</v>
      </c>
    </row>
    <row r="41" spans="2:8" s="8" customFormat="1" ht="18" customHeight="1" x14ac:dyDescent="0.3">
      <c r="B41" s="47" t="s">
        <v>82</v>
      </c>
      <c r="C41" s="63" t="s">
        <v>83</v>
      </c>
      <c r="D41" s="64"/>
      <c r="E41" s="54"/>
      <c r="F41" s="54"/>
      <c r="G41" s="54"/>
      <c r="H41" s="54"/>
    </row>
    <row r="42" spans="2:8" ht="22.5" customHeight="1" x14ac:dyDescent="0.25">
      <c r="B42" s="20">
        <v>1</v>
      </c>
      <c r="C42" s="94" t="s">
        <v>84</v>
      </c>
      <c r="D42" s="94"/>
      <c r="E42" s="37" t="s">
        <v>35</v>
      </c>
      <c r="F42" s="37" t="s">
        <v>35</v>
      </c>
      <c r="G42" s="37" t="s">
        <v>35</v>
      </c>
      <c r="H42" s="37" t="s">
        <v>35</v>
      </c>
    </row>
    <row r="43" spans="2:8" ht="22.5" customHeight="1" x14ac:dyDescent="0.25">
      <c r="B43" s="20">
        <v>2</v>
      </c>
      <c r="C43" s="94" t="s">
        <v>87</v>
      </c>
      <c r="D43" s="94"/>
      <c r="E43" s="37" t="s">
        <v>35</v>
      </c>
      <c r="F43" s="37" t="s">
        <v>35</v>
      </c>
      <c r="G43" s="37" t="s">
        <v>35</v>
      </c>
      <c r="H43" s="37" t="s">
        <v>35</v>
      </c>
    </row>
    <row r="44" spans="2:8" ht="18" customHeight="1" x14ac:dyDescent="0.25">
      <c r="B44" s="26" t="s">
        <v>88</v>
      </c>
      <c r="C44" s="4" t="s">
        <v>89</v>
      </c>
      <c r="D44" s="66"/>
      <c r="E44" s="37"/>
      <c r="F44" s="37"/>
      <c r="G44" s="37"/>
      <c r="H44" s="37"/>
    </row>
    <row r="45" spans="2:8" ht="16.5" customHeight="1" x14ac:dyDescent="0.25">
      <c r="B45" s="96">
        <v>1</v>
      </c>
      <c r="C45" s="97" t="s">
        <v>90</v>
      </c>
      <c r="D45" s="67" t="s">
        <v>91</v>
      </c>
      <c r="E45" s="37" t="s">
        <v>35</v>
      </c>
      <c r="F45" s="37" t="s">
        <v>35</v>
      </c>
      <c r="G45" s="37" t="s">
        <v>35</v>
      </c>
      <c r="H45" s="37" t="s">
        <v>35</v>
      </c>
    </row>
    <row r="46" spans="2:8" ht="16.5" customHeight="1" x14ac:dyDescent="0.25">
      <c r="B46" s="96"/>
      <c r="C46" s="96"/>
      <c r="D46" s="67" t="s">
        <v>93</v>
      </c>
      <c r="E46" s="37" t="s">
        <v>35</v>
      </c>
      <c r="F46" s="37" t="s">
        <v>35</v>
      </c>
      <c r="G46" s="37" t="s">
        <v>35</v>
      </c>
      <c r="H46" s="37" t="s">
        <v>35</v>
      </c>
    </row>
    <row r="47" spans="2:8" ht="16.5" customHeight="1" x14ac:dyDescent="0.25">
      <c r="B47" s="96"/>
      <c r="C47" s="96"/>
      <c r="D47" s="67" t="s">
        <v>94</v>
      </c>
      <c r="E47" s="37" t="s">
        <v>35</v>
      </c>
      <c r="F47" s="37" t="s">
        <v>35</v>
      </c>
      <c r="G47" s="37" t="s">
        <v>35</v>
      </c>
      <c r="H47" s="37" t="s">
        <v>35</v>
      </c>
    </row>
    <row r="48" spans="2:8" ht="16.5" customHeight="1" x14ac:dyDescent="0.25">
      <c r="B48" s="96"/>
      <c r="C48" s="96"/>
      <c r="D48" s="67" t="s">
        <v>95</v>
      </c>
      <c r="E48" s="37" t="s">
        <v>35</v>
      </c>
      <c r="F48" s="37" t="s">
        <v>35</v>
      </c>
      <c r="G48" s="37" t="s">
        <v>35</v>
      </c>
      <c r="H48" s="37" t="s">
        <v>35</v>
      </c>
    </row>
    <row r="49" spans="1:8" ht="16.5" customHeight="1" x14ac:dyDescent="0.25">
      <c r="B49" s="96"/>
      <c r="C49" s="96"/>
      <c r="D49" s="67" t="s">
        <v>96</v>
      </c>
      <c r="E49" s="37" t="s">
        <v>35</v>
      </c>
      <c r="F49" s="37" t="s">
        <v>35</v>
      </c>
      <c r="G49" s="37" t="s">
        <v>35</v>
      </c>
      <c r="H49" s="37" t="s">
        <v>35</v>
      </c>
    </row>
    <row r="50" spans="1:8" ht="16.5" customHeight="1" x14ac:dyDescent="0.25">
      <c r="B50" s="96"/>
      <c r="C50" s="96"/>
      <c r="D50" s="67" t="s">
        <v>97</v>
      </c>
      <c r="E50" s="37" t="s">
        <v>35</v>
      </c>
      <c r="F50" s="37" t="s">
        <v>35</v>
      </c>
      <c r="G50" s="37" t="s">
        <v>35</v>
      </c>
      <c r="H50" s="37" t="s">
        <v>35</v>
      </c>
    </row>
    <row r="51" spans="1:8" ht="18" customHeight="1" x14ac:dyDescent="0.25">
      <c r="B51" s="26" t="s">
        <v>98</v>
      </c>
      <c r="C51" s="4" t="s">
        <v>99</v>
      </c>
      <c r="D51" s="3"/>
      <c r="E51" s="37"/>
      <c r="F51" s="37"/>
      <c r="G51" s="37"/>
      <c r="H51" s="37"/>
    </row>
    <row r="52" spans="1:8" ht="63" customHeight="1" x14ac:dyDescent="0.25">
      <c r="B52" s="20">
        <v>1</v>
      </c>
      <c r="C52" s="3" t="s">
        <v>100</v>
      </c>
      <c r="D52" s="3"/>
      <c r="E52" s="37" t="s">
        <v>35</v>
      </c>
      <c r="F52" s="37" t="s">
        <v>35</v>
      </c>
      <c r="G52" s="37" t="s">
        <v>35</v>
      </c>
      <c r="H52" s="37" t="s">
        <v>35</v>
      </c>
    </row>
    <row r="53" spans="1:8" ht="63" customHeight="1" x14ac:dyDescent="0.25">
      <c r="B53" s="20">
        <v>2</v>
      </c>
      <c r="C53" s="3" t="s">
        <v>102</v>
      </c>
      <c r="D53" s="3"/>
      <c r="E53" s="37" t="s">
        <v>35</v>
      </c>
      <c r="F53" s="37" t="s">
        <v>35</v>
      </c>
      <c r="G53" s="37" t="s">
        <v>35</v>
      </c>
      <c r="H53" s="37" t="s">
        <v>35</v>
      </c>
    </row>
    <row r="54" spans="1:8" ht="15" customHeight="1" x14ac:dyDescent="0.25"/>
    <row r="55" spans="1:8" ht="14.25" customHeight="1" x14ac:dyDescent="0.25">
      <c r="B55" s="69"/>
    </row>
    <row r="56" spans="1:8" ht="16.5" customHeight="1" x14ac:dyDescent="0.35">
      <c r="A56" s="92"/>
      <c r="B56" s="92"/>
      <c r="C56" s="71"/>
    </row>
  </sheetData>
  <mergeCells count="18">
    <mergeCell ref="A56:B56"/>
    <mergeCell ref="C42:D42"/>
    <mergeCell ref="C43:D43"/>
    <mergeCell ref="B45:B50"/>
    <mergeCell ref="C45:C50"/>
    <mergeCell ref="C14:D14"/>
    <mergeCell ref="C19:D19"/>
    <mergeCell ref="C33:D33"/>
    <mergeCell ref="C7:D7"/>
    <mergeCell ref="C8:D8"/>
    <mergeCell ref="C9:D9"/>
    <mergeCell ref="C10:D10"/>
    <mergeCell ref="C11:D11"/>
    <mergeCell ref="C12:D12"/>
    <mergeCell ref="E3:H3"/>
    <mergeCell ref="C4:D4"/>
    <mergeCell ref="C5:D5"/>
    <mergeCell ref="C6:D6"/>
  </mergeCells>
  <pageMargins left="0.7" right="0.7" top="0.75" bottom="0.75" header="0.511811023622047" footer="0.511811023622047"/>
  <pageSetup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Các loại báo cáo</vt:lpstr>
      <vt:lpstr>Về nhà</vt:lpstr>
      <vt:lpstr>Cấu hình chỉ tiêu báo cáo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Tuan Tm</cp:lastModifiedBy>
  <cp:revision>0</cp:revision>
  <dcterms:created xsi:type="dcterms:W3CDTF">2022-09-15T09:46:38Z</dcterms:created>
  <dcterms:modified xsi:type="dcterms:W3CDTF">2026-09-15T16:49:54Z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0x0101006C3B176E0C9D2B4695D56C606ADD05E8</vt:lpwstr>
  </property>
  <property fmtid="{D5CDD505-2E9C-101B-9397-08002B2CF9AE}" pid="3" name="MediaServiceImageTags">
    <vt:lpwstr/>
  </property>
</Properties>
</file>